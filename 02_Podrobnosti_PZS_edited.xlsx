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onza\Documents\13_Programming\HTML\WEB_modular\MWv10\"/>
    </mc:Choice>
  </mc:AlternateContent>
  <xr:revisionPtr revIDLastSave="0" documentId="13_ncr:1_{37AD6DAC-6824-49A6-B136-767163CC2B31}" xr6:coauthVersionLast="47" xr6:coauthVersionMax="47" xr10:uidLastSave="{00000000-0000-0000-0000-000000000000}"/>
  <bookViews>
    <workbookView xWindow="-120" yWindow="-120" windowWidth="29040" windowHeight="15840" xr2:uid="{4C05680F-DC4C-4A0D-B3A8-16B831E690FA}"/>
  </bookViews>
  <sheets>
    <sheet name="Lis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8" i="1" l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P462" i="1"/>
  <c r="Q462" i="1" s="1"/>
  <c r="O462" i="1"/>
  <c r="N462" i="1"/>
  <c r="P461" i="1"/>
  <c r="Q461" i="1" s="1"/>
  <c r="O461" i="1"/>
  <c r="N461" i="1"/>
  <c r="N460" i="1"/>
  <c r="P459" i="1"/>
  <c r="Q459" i="1" s="1"/>
  <c r="O459" i="1"/>
  <c r="N459" i="1"/>
  <c r="P458" i="1"/>
  <c r="Q458" i="1" s="1"/>
  <c r="O458" i="1"/>
  <c r="N458" i="1"/>
  <c r="N457" i="1"/>
  <c r="P456" i="1"/>
  <c r="Q456" i="1" s="1"/>
  <c r="O456" i="1"/>
  <c r="N456" i="1"/>
  <c r="P455" i="1"/>
  <c r="Q455" i="1" s="1"/>
  <c r="O455" i="1"/>
  <c r="N455" i="1"/>
  <c r="P454" i="1"/>
  <c r="Q454" i="1" s="1"/>
  <c r="O454" i="1"/>
  <c r="N454" i="1"/>
  <c r="P453" i="1"/>
  <c r="Q453" i="1" s="1"/>
  <c r="O453" i="1"/>
  <c r="N453" i="1"/>
  <c r="P452" i="1"/>
  <c r="Q452" i="1" s="1"/>
  <c r="O452" i="1"/>
  <c r="N452" i="1"/>
  <c r="P451" i="1"/>
  <c r="Q451" i="1" s="1"/>
  <c r="O451" i="1"/>
  <c r="N450" i="1"/>
  <c r="Q449" i="1"/>
  <c r="N449" i="1"/>
  <c r="P448" i="1"/>
  <c r="Q448" i="1" s="1"/>
  <c r="O448" i="1"/>
  <c r="N448" i="1"/>
  <c r="N447" i="1"/>
  <c r="Q446" i="1"/>
  <c r="P446" i="1"/>
  <c r="O446" i="1"/>
  <c r="N446" i="1"/>
  <c r="Q445" i="1"/>
  <c r="P445" i="1"/>
  <c r="O445" i="1"/>
  <c r="N445" i="1"/>
  <c r="N444" i="1"/>
  <c r="P443" i="1"/>
  <c r="Q443" i="1" s="1"/>
  <c r="O443" i="1"/>
  <c r="N443" i="1"/>
  <c r="P441" i="1"/>
  <c r="Q441" i="1" s="1"/>
  <c r="O441" i="1"/>
  <c r="N441" i="1"/>
  <c r="P440" i="1"/>
  <c r="Q440" i="1" s="1"/>
  <c r="O440" i="1"/>
  <c r="N440" i="1"/>
  <c r="Q439" i="1"/>
  <c r="N439" i="1"/>
  <c r="P438" i="1"/>
  <c r="Q438" i="1" s="1"/>
  <c r="O438" i="1"/>
  <c r="N438" i="1"/>
  <c r="P437" i="1"/>
  <c r="Q437" i="1" s="1"/>
  <c r="O437" i="1"/>
  <c r="N437" i="1"/>
  <c r="P436" i="1"/>
  <c r="Q436" i="1" s="1"/>
  <c r="O436" i="1"/>
  <c r="N436" i="1"/>
  <c r="P435" i="1"/>
  <c r="Q435" i="1" s="1"/>
  <c r="O435" i="1"/>
  <c r="N435" i="1"/>
  <c r="P434" i="1"/>
  <c r="Q434" i="1" s="1"/>
  <c r="O434" i="1"/>
  <c r="N434" i="1"/>
  <c r="P433" i="1"/>
  <c r="Q433" i="1" s="1"/>
  <c r="N433" i="1"/>
  <c r="P432" i="1"/>
  <c r="Q432" i="1" s="1"/>
  <c r="O432" i="1"/>
  <c r="N432" i="1"/>
  <c r="P431" i="1"/>
  <c r="Q431" i="1" s="1"/>
  <c r="O431" i="1"/>
  <c r="N431" i="1"/>
  <c r="P430" i="1"/>
  <c r="Q430" i="1" s="1"/>
  <c r="O430" i="1"/>
  <c r="N430" i="1"/>
  <c r="P429" i="1"/>
  <c r="Q429" i="1" s="1"/>
  <c r="O429" i="1"/>
  <c r="N429" i="1"/>
  <c r="P428" i="1"/>
  <c r="Q428" i="1" s="1"/>
  <c r="O428" i="1"/>
  <c r="N428" i="1"/>
  <c r="Q427" i="1"/>
  <c r="N427" i="1"/>
  <c r="Q426" i="1"/>
  <c r="N426" i="1"/>
  <c r="N425" i="1"/>
  <c r="Q424" i="1"/>
  <c r="N424" i="1"/>
  <c r="Q423" i="1"/>
  <c r="N423" i="1"/>
  <c r="N422" i="1"/>
  <c r="P421" i="1"/>
  <c r="Q421" i="1" s="1"/>
  <c r="O421" i="1"/>
  <c r="N421" i="1"/>
  <c r="P420" i="1"/>
  <c r="Q420" i="1" s="1"/>
  <c r="O420" i="1"/>
  <c r="N420" i="1"/>
  <c r="P419" i="1"/>
  <c r="Q419" i="1" s="1"/>
  <c r="O419" i="1"/>
  <c r="N419" i="1"/>
  <c r="P418" i="1"/>
  <c r="Q418" i="1" s="1"/>
  <c r="O418" i="1"/>
  <c r="N418" i="1"/>
  <c r="P417" i="1"/>
  <c r="Q417" i="1" s="1"/>
  <c r="O417" i="1"/>
  <c r="N417" i="1"/>
  <c r="P416" i="1"/>
  <c r="Q416" i="1" s="1"/>
  <c r="O416" i="1"/>
  <c r="N416" i="1"/>
  <c r="Q415" i="1"/>
  <c r="N415" i="1"/>
  <c r="N414" i="1"/>
  <c r="N413" i="1"/>
  <c r="P412" i="1"/>
  <c r="Q412" i="1" s="1"/>
  <c r="O412" i="1"/>
  <c r="N412" i="1"/>
  <c r="Q411" i="1"/>
  <c r="N411" i="1"/>
  <c r="N410" i="1"/>
  <c r="P409" i="1"/>
  <c r="Q409" i="1" s="1"/>
  <c r="O409" i="1"/>
  <c r="N409" i="1"/>
  <c r="N408" i="1"/>
  <c r="N407" i="1"/>
  <c r="Q406" i="1"/>
  <c r="O406" i="1"/>
  <c r="N406" i="1"/>
  <c r="Q405" i="1"/>
  <c r="P405" i="1"/>
  <c r="O405" i="1"/>
  <c r="N405" i="1"/>
  <c r="Q404" i="1"/>
  <c r="P404" i="1"/>
  <c r="O404" i="1"/>
  <c r="N404" i="1"/>
  <c r="Q403" i="1"/>
  <c r="N403" i="1"/>
  <c r="Q402" i="1"/>
  <c r="N402" i="1"/>
  <c r="Q401" i="1"/>
  <c r="N401" i="1"/>
  <c r="Q400" i="1"/>
  <c r="P400" i="1"/>
  <c r="O400" i="1"/>
  <c r="N400" i="1"/>
  <c r="Q399" i="1"/>
  <c r="P399" i="1"/>
  <c r="O399" i="1"/>
  <c r="N399" i="1"/>
  <c r="N398" i="1"/>
  <c r="P397" i="1"/>
  <c r="Q397" i="1" s="1"/>
  <c r="O397" i="1"/>
  <c r="N397" i="1"/>
  <c r="P396" i="1"/>
  <c r="Q396" i="1" s="1"/>
  <c r="O396" i="1"/>
  <c r="N396" i="1"/>
  <c r="P395" i="1"/>
  <c r="Q395" i="1" s="1"/>
  <c r="O395" i="1"/>
  <c r="N395" i="1"/>
  <c r="N394" i="1"/>
  <c r="P393" i="1"/>
  <c r="Q393" i="1" s="1"/>
  <c r="O393" i="1"/>
  <c r="N393" i="1"/>
  <c r="N392" i="1"/>
  <c r="P391" i="1"/>
  <c r="Q391" i="1" s="1"/>
  <c r="O391" i="1"/>
  <c r="N391" i="1"/>
  <c r="N390" i="1"/>
  <c r="Q389" i="1"/>
  <c r="P389" i="1"/>
  <c r="O389" i="1"/>
  <c r="N389" i="1"/>
  <c r="N388" i="1"/>
  <c r="P387" i="1"/>
  <c r="Q387" i="1" s="1"/>
  <c r="O387" i="1"/>
  <c r="N387" i="1"/>
  <c r="P386" i="1"/>
  <c r="Q386" i="1" s="1"/>
  <c r="O386" i="1"/>
  <c r="N386" i="1"/>
  <c r="P385" i="1"/>
  <c r="Q385" i="1" s="1"/>
  <c r="O385" i="1"/>
  <c r="N385" i="1"/>
  <c r="P384" i="1"/>
  <c r="Q384" i="1" s="1"/>
  <c r="O384" i="1"/>
  <c r="N384" i="1"/>
  <c r="P383" i="1"/>
  <c r="Q383" i="1" s="1"/>
  <c r="O383" i="1"/>
  <c r="N383" i="1"/>
  <c r="P382" i="1"/>
  <c r="Q382" i="1" s="1"/>
  <c r="O382" i="1"/>
  <c r="N382" i="1"/>
  <c r="P381" i="1"/>
  <c r="Q381" i="1" s="1"/>
  <c r="O381" i="1"/>
  <c r="N381" i="1"/>
  <c r="P380" i="1"/>
  <c r="Q380" i="1" s="1"/>
  <c r="O380" i="1"/>
  <c r="N380" i="1"/>
  <c r="P379" i="1"/>
  <c r="Q379" i="1" s="1"/>
  <c r="O379" i="1"/>
  <c r="N379" i="1"/>
  <c r="P378" i="1"/>
  <c r="Q378" i="1" s="1"/>
  <c r="O378" i="1"/>
  <c r="N378" i="1"/>
  <c r="P377" i="1"/>
  <c r="Q377" i="1" s="1"/>
  <c r="O377" i="1"/>
  <c r="N377" i="1"/>
  <c r="P376" i="1"/>
  <c r="Q376" i="1" s="1"/>
  <c r="O376" i="1"/>
  <c r="N376" i="1"/>
  <c r="Q375" i="1"/>
  <c r="N375" i="1"/>
  <c r="P374" i="1"/>
  <c r="Q374" i="1" s="1"/>
  <c r="O374" i="1"/>
  <c r="N374" i="1"/>
  <c r="P373" i="1"/>
  <c r="Q373" i="1" s="1"/>
  <c r="O373" i="1"/>
  <c r="N373" i="1"/>
  <c r="P372" i="1"/>
  <c r="Q372" i="1" s="1"/>
  <c r="O372" i="1"/>
  <c r="N372" i="1"/>
  <c r="P371" i="1"/>
  <c r="Q371" i="1" s="1"/>
  <c r="O371" i="1"/>
  <c r="N371" i="1"/>
  <c r="P370" i="1"/>
  <c r="Q370" i="1" s="1"/>
  <c r="O370" i="1"/>
  <c r="N370" i="1"/>
  <c r="P369" i="1"/>
  <c r="Q369" i="1" s="1"/>
  <c r="O369" i="1"/>
  <c r="N369" i="1"/>
  <c r="P368" i="1"/>
  <c r="Q368" i="1" s="1"/>
  <c r="O368" i="1"/>
  <c r="N368" i="1"/>
  <c r="P367" i="1"/>
  <c r="Q367" i="1" s="1"/>
  <c r="O367" i="1"/>
  <c r="N367" i="1"/>
  <c r="P366" i="1"/>
  <c r="Q366" i="1" s="1"/>
  <c r="O366" i="1"/>
  <c r="N366" i="1"/>
  <c r="N365" i="1"/>
  <c r="Q364" i="1"/>
  <c r="N364" i="1"/>
  <c r="P363" i="1"/>
  <c r="Q363" i="1" s="1"/>
  <c r="O363" i="1"/>
  <c r="N363" i="1"/>
  <c r="P362" i="1"/>
  <c r="Q362" i="1" s="1"/>
  <c r="O362" i="1"/>
  <c r="N362" i="1"/>
  <c r="P361" i="1"/>
  <c r="Q361" i="1" s="1"/>
  <c r="O361" i="1"/>
  <c r="N361" i="1"/>
  <c r="Q360" i="1"/>
  <c r="Q359" i="1"/>
  <c r="Q358" i="1"/>
  <c r="Q357" i="1"/>
  <c r="N357" i="1"/>
  <c r="Q356" i="1"/>
  <c r="N356" i="1"/>
  <c r="Q355" i="1"/>
  <c r="N355" i="1"/>
  <c r="Q354" i="1"/>
  <c r="N354" i="1"/>
  <c r="P353" i="1"/>
  <c r="Q353" i="1" s="1"/>
  <c r="O353" i="1"/>
  <c r="N353" i="1"/>
  <c r="N352" i="1"/>
  <c r="Q351" i="1"/>
  <c r="P351" i="1"/>
  <c r="O351" i="1"/>
  <c r="N351" i="1"/>
  <c r="N350" i="1"/>
  <c r="N349" i="1"/>
  <c r="Q348" i="1"/>
  <c r="P348" i="1"/>
  <c r="O348" i="1"/>
  <c r="N348" i="1"/>
  <c r="Q347" i="1"/>
  <c r="P347" i="1"/>
  <c r="O347" i="1"/>
  <c r="N347" i="1"/>
  <c r="Q346" i="1"/>
  <c r="P346" i="1"/>
  <c r="O346" i="1"/>
  <c r="N346" i="1"/>
  <c r="Q345" i="1"/>
  <c r="P345" i="1"/>
  <c r="O345" i="1"/>
  <c r="N345" i="1"/>
  <c r="Q344" i="1"/>
  <c r="P344" i="1"/>
  <c r="O344" i="1"/>
  <c r="N344" i="1"/>
  <c r="N343" i="1"/>
  <c r="P342" i="1"/>
  <c r="Q342" i="1" s="1"/>
  <c r="O342" i="1"/>
  <c r="N342" i="1"/>
  <c r="P341" i="1"/>
  <c r="Q341" i="1" s="1"/>
  <c r="O341" i="1"/>
  <c r="N341" i="1"/>
  <c r="P340" i="1"/>
  <c r="Q340" i="1" s="1"/>
  <c r="O340" i="1"/>
  <c r="N340" i="1"/>
  <c r="P339" i="1"/>
  <c r="Q339" i="1" s="1"/>
  <c r="O339" i="1"/>
  <c r="N339" i="1"/>
  <c r="P338" i="1"/>
  <c r="Q338" i="1" s="1"/>
  <c r="O338" i="1"/>
  <c r="N338" i="1"/>
  <c r="P337" i="1"/>
  <c r="Q337" i="1" s="1"/>
  <c r="O337" i="1"/>
  <c r="N337" i="1"/>
  <c r="Q336" i="1"/>
  <c r="N336" i="1"/>
  <c r="Q335" i="1"/>
  <c r="N335" i="1"/>
  <c r="Q334" i="1"/>
  <c r="N334" i="1"/>
  <c r="P333" i="1"/>
  <c r="Q333" i="1" s="1"/>
  <c r="O333" i="1"/>
  <c r="N333" i="1"/>
  <c r="Q332" i="1"/>
  <c r="O332" i="1"/>
  <c r="N332" i="1"/>
  <c r="Q331" i="1"/>
  <c r="P331" i="1"/>
  <c r="O331" i="1"/>
  <c r="N331" i="1"/>
  <c r="Q330" i="1"/>
  <c r="P330" i="1"/>
  <c r="O330" i="1"/>
  <c r="N330" i="1"/>
  <c r="Q329" i="1"/>
  <c r="P329" i="1"/>
  <c r="O329" i="1"/>
  <c r="N329" i="1"/>
  <c r="Q328" i="1"/>
  <c r="N328" i="1"/>
  <c r="Q327" i="1"/>
  <c r="P327" i="1"/>
  <c r="O327" i="1"/>
  <c r="N327" i="1"/>
  <c r="Q326" i="1"/>
  <c r="P325" i="1"/>
  <c r="Q325" i="1" s="1"/>
  <c r="O325" i="1"/>
  <c r="N325" i="1"/>
  <c r="P324" i="1"/>
  <c r="Q324" i="1" s="1"/>
  <c r="O324" i="1"/>
  <c r="N324" i="1"/>
  <c r="P323" i="1"/>
  <c r="Q323" i="1" s="1"/>
  <c r="O323" i="1"/>
  <c r="N323" i="1"/>
  <c r="P322" i="1"/>
  <c r="Q322" i="1" s="1"/>
  <c r="O322" i="1"/>
  <c r="N322" i="1"/>
  <c r="P321" i="1"/>
  <c r="Q321" i="1" s="1"/>
  <c r="O321" i="1"/>
  <c r="N321" i="1"/>
  <c r="P320" i="1"/>
  <c r="Q320" i="1" s="1"/>
  <c r="O320" i="1"/>
  <c r="N320" i="1"/>
  <c r="Q319" i="1"/>
  <c r="N319" i="1"/>
  <c r="P318" i="1"/>
  <c r="Q318" i="1" s="1"/>
  <c r="O318" i="1"/>
  <c r="N318" i="1"/>
  <c r="N317" i="1"/>
  <c r="Q316" i="1"/>
  <c r="P316" i="1"/>
  <c r="O316" i="1"/>
  <c r="N316" i="1"/>
  <c r="N315" i="1"/>
  <c r="P314" i="1"/>
  <c r="Q314" i="1" s="1"/>
  <c r="O314" i="1"/>
  <c r="N314" i="1"/>
  <c r="Q313" i="1"/>
  <c r="N313" i="1"/>
  <c r="P312" i="1"/>
  <c r="Q312" i="1" s="1"/>
  <c r="O312" i="1"/>
  <c r="N312" i="1"/>
  <c r="Q311" i="1"/>
  <c r="O311" i="1"/>
  <c r="N311" i="1"/>
  <c r="Q310" i="1"/>
  <c r="P310" i="1"/>
  <c r="O310" i="1"/>
  <c r="N310" i="1"/>
  <c r="Q309" i="1"/>
  <c r="P309" i="1"/>
  <c r="O309" i="1"/>
  <c r="N309" i="1"/>
  <c r="Q308" i="1"/>
  <c r="P308" i="1"/>
  <c r="O308" i="1"/>
  <c r="N308" i="1"/>
  <c r="Q307" i="1"/>
  <c r="N307" i="1"/>
  <c r="Q306" i="1"/>
  <c r="N306" i="1"/>
  <c r="Q305" i="1"/>
  <c r="N305" i="1"/>
  <c r="Q304" i="1"/>
  <c r="P304" i="1"/>
  <c r="O304" i="1"/>
  <c r="N304" i="1"/>
  <c r="Q303" i="1"/>
  <c r="N303" i="1"/>
  <c r="Q302" i="1"/>
  <c r="N302" i="1"/>
  <c r="Q301" i="1"/>
  <c r="N301" i="1"/>
  <c r="Q300" i="1"/>
  <c r="N300" i="1"/>
  <c r="Q299" i="1"/>
  <c r="P299" i="1"/>
  <c r="O299" i="1"/>
  <c r="N299" i="1"/>
  <c r="Q298" i="1"/>
  <c r="N298" i="1"/>
  <c r="Q297" i="1"/>
  <c r="N297" i="1"/>
  <c r="Q296" i="1"/>
  <c r="O296" i="1"/>
  <c r="N296" i="1"/>
  <c r="P295" i="1"/>
  <c r="Q295" i="1" s="1"/>
  <c r="O295" i="1"/>
  <c r="N295" i="1"/>
  <c r="Q294" i="1"/>
  <c r="N294" i="1"/>
  <c r="P293" i="1"/>
  <c r="Q293" i="1" s="1"/>
  <c r="O293" i="1"/>
  <c r="N293" i="1"/>
  <c r="P292" i="1"/>
  <c r="Q292" i="1" s="1"/>
  <c r="O292" i="1"/>
  <c r="N292" i="1"/>
  <c r="P291" i="1"/>
  <c r="Q291" i="1" s="1"/>
  <c r="O291" i="1"/>
  <c r="N291" i="1"/>
  <c r="P290" i="1"/>
  <c r="Q290" i="1" s="1"/>
  <c r="O290" i="1"/>
  <c r="N290" i="1"/>
  <c r="P289" i="1"/>
  <c r="Q289" i="1" s="1"/>
  <c r="O289" i="1"/>
  <c r="N289" i="1"/>
  <c r="P288" i="1"/>
  <c r="Q288" i="1" s="1"/>
  <c r="O288" i="1"/>
  <c r="N288" i="1"/>
  <c r="P287" i="1"/>
  <c r="Q287" i="1" s="1"/>
  <c r="O287" i="1"/>
  <c r="N287" i="1"/>
  <c r="P286" i="1"/>
  <c r="Q286" i="1" s="1"/>
  <c r="O286" i="1"/>
  <c r="N286" i="1"/>
  <c r="N285" i="1"/>
  <c r="P284" i="1"/>
  <c r="Q284" i="1" s="1"/>
  <c r="O284" i="1"/>
  <c r="N284" i="1"/>
  <c r="Q283" i="1"/>
  <c r="N283" i="1"/>
  <c r="N282" i="1"/>
  <c r="N281" i="1"/>
  <c r="Q280" i="1"/>
  <c r="N280" i="1"/>
  <c r="P279" i="1"/>
  <c r="Q279" i="1" s="1"/>
  <c r="O279" i="1"/>
  <c r="N279" i="1"/>
  <c r="P278" i="1"/>
  <c r="Q278" i="1" s="1"/>
  <c r="O278" i="1"/>
  <c r="N278" i="1"/>
  <c r="P277" i="1"/>
  <c r="Q277" i="1" s="1"/>
  <c r="O277" i="1"/>
  <c r="N277" i="1"/>
  <c r="P276" i="1"/>
  <c r="Q276" i="1" s="1"/>
  <c r="O276" i="1"/>
  <c r="N276" i="1"/>
  <c r="P275" i="1"/>
  <c r="Q275" i="1" s="1"/>
  <c r="O275" i="1"/>
  <c r="N275" i="1"/>
  <c r="P274" i="1"/>
  <c r="Q274" i="1" s="1"/>
  <c r="O274" i="1"/>
  <c r="N274" i="1"/>
  <c r="P273" i="1"/>
  <c r="Q273" i="1" s="1"/>
  <c r="O273" i="1"/>
  <c r="N273" i="1"/>
  <c r="P272" i="1"/>
  <c r="Q272" i="1" s="1"/>
  <c r="O272" i="1"/>
  <c r="N272" i="1"/>
  <c r="N271" i="1"/>
  <c r="P270" i="1"/>
  <c r="Q270" i="1" s="1"/>
  <c r="O270" i="1"/>
  <c r="N270" i="1"/>
  <c r="P269" i="1"/>
  <c r="Q269" i="1" s="1"/>
  <c r="O269" i="1"/>
  <c r="N269" i="1"/>
  <c r="P268" i="1"/>
  <c r="Q268" i="1" s="1"/>
  <c r="O268" i="1"/>
  <c r="N268" i="1"/>
  <c r="Q267" i="1"/>
  <c r="N267" i="1"/>
  <c r="P266" i="1"/>
  <c r="Q266" i="1" s="1"/>
  <c r="O266" i="1"/>
  <c r="N266" i="1"/>
  <c r="Q265" i="1"/>
  <c r="N265" i="1"/>
  <c r="P264" i="1"/>
  <c r="Q264" i="1" s="1"/>
  <c r="O264" i="1"/>
  <c r="N264" i="1"/>
  <c r="P263" i="1"/>
  <c r="Q263" i="1" s="1"/>
  <c r="O263" i="1"/>
  <c r="N263" i="1"/>
  <c r="P262" i="1"/>
  <c r="Q262" i="1" s="1"/>
  <c r="O262" i="1"/>
  <c r="N262" i="1"/>
  <c r="P261" i="1"/>
  <c r="Q261" i="1" s="1"/>
  <c r="O261" i="1"/>
  <c r="N261" i="1"/>
  <c r="P260" i="1"/>
  <c r="Q260" i="1" s="1"/>
  <c r="O260" i="1"/>
  <c r="N260" i="1"/>
  <c r="P259" i="1"/>
  <c r="Q259" i="1" s="1"/>
  <c r="O259" i="1"/>
  <c r="N259" i="1"/>
  <c r="P258" i="1"/>
  <c r="Q258" i="1" s="1"/>
  <c r="O258" i="1"/>
  <c r="N258" i="1"/>
  <c r="P257" i="1"/>
  <c r="Q257" i="1" s="1"/>
  <c r="O257" i="1"/>
  <c r="N257" i="1"/>
  <c r="Q256" i="1"/>
  <c r="N256" i="1"/>
  <c r="N255" i="1"/>
  <c r="P254" i="1"/>
  <c r="Q254" i="1" s="1"/>
  <c r="O254" i="1"/>
  <c r="N254" i="1"/>
  <c r="P253" i="1"/>
  <c r="Q253" i="1" s="1"/>
  <c r="O253" i="1"/>
  <c r="N253" i="1"/>
  <c r="Q252" i="1"/>
  <c r="N252" i="1"/>
  <c r="P251" i="1"/>
  <c r="Q251" i="1" s="1"/>
  <c r="O251" i="1"/>
  <c r="N251" i="1"/>
  <c r="Q250" i="1"/>
  <c r="N250" i="1"/>
  <c r="N249" i="1"/>
  <c r="Q248" i="1"/>
  <c r="N248" i="1"/>
  <c r="Q247" i="1"/>
  <c r="N247" i="1"/>
  <c r="P246" i="1"/>
  <c r="Q246" i="1" s="1"/>
  <c r="O246" i="1"/>
  <c r="N246" i="1"/>
  <c r="P245" i="1"/>
  <c r="Q245" i="1" s="1"/>
  <c r="O245" i="1"/>
  <c r="N245" i="1"/>
  <c r="P244" i="1"/>
  <c r="Q244" i="1" s="1"/>
  <c r="O244" i="1"/>
  <c r="N244" i="1"/>
  <c r="N243" i="1"/>
  <c r="Q242" i="1"/>
  <c r="P242" i="1"/>
  <c r="O242" i="1"/>
  <c r="N242" i="1"/>
  <c r="Q241" i="1"/>
  <c r="N241" i="1"/>
  <c r="Q240" i="1"/>
  <c r="N240" i="1"/>
  <c r="Q239" i="1"/>
  <c r="P239" i="1"/>
  <c r="O239" i="1"/>
  <c r="N239" i="1"/>
  <c r="Q238" i="1"/>
  <c r="P238" i="1"/>
  <c r="O238" i="1"/>
  <c r="N238" i="1"/>
  <c r="Q237" i="1"/>
  <c r="N237" i="1"/>
  <c r="Q236" i="1"/>
  <c r="N236" i="1"/>
  <c r="Q235" i="1"/>
  <c r="N235" i="1"/>
  <c r="Q234" i="1"/>
  <c r="O234" i="1"/>
  <c r="N234" i="1"/>
  <c r="P233" i="1"/>
  <c r="Q233" i="1" s="1"/>
  <c r="O233" i="1"/>
  <c r="N233" i="1"/>
  <c r="P232" i="1"/>
  <c r="Q232" i="1" s="1"/>
  <c r="O232" i="1"/>
  <c r="N232" i="1"/>
  <c r="N231" i="1"/>
  <c r="Q230" i="1"/>
  <c r="P230" i="1"/>
  <c r="O230" i="1"/>
  <c r="N230" i="1"/>
  <c r="N229" i="1"/>
  <c r="P228" i="1"/>
  <c r="Q228" i="1" s="1"/>
  <c r="O228" i="1"/>
  <c r="N228" i="1"/>
  <c r="P227" i="1"/>
  <c r="Q227" i="1" s="1"/>
  <c r="O227" i="1"/>
  <c r="N227" i="1"/>
  <c r="P226" i="1"/>
  <c r="Q226" i="1" s="1"/>
  <c r="O226" i="1"/>
  <c r="N226" i="1"/>
  <c r="P225" i="1"/>
  <c r="Q225" i="1" s="1"/>
  <c r="O225" i="1"/>
  <c r="N225" i="1"/>
  <c r="P224" i="1"/>
  <c r="Q224" i="1" s="1"/>
  <c r="O224" i="1"/>
  <c r="N224" i="1"/>
  <c r="P223" i="1"/>
  <c r="Q223" i="1" s="1"/>
  <c r="O223" i="1"/>
  <c r="N223" i="1"/>
  <c r="N222" i="1"/>
  <c r="Q221" i="1"/>
  <c r="P221" i="1"/>
  <c r="O221" i="1"/>
  <c r="N221" i="1"/>
  <c r="Q220" i="1"/>
  <c r="N220" i="1"/>
  <c r="Q219" i="1"/>
  <c r="N219" i="1"/>
  <c r="Q218" i="1"/>
  <c r="P218" i="1"/>
  <c r="O218" i="1"/>
  <c r="N218" i="1"/>
  <c r="Q217" i="1"/>
  <c r="P217" i="1"/>
  <c r="O217" i="1"/>
  <c r="N217" i="1"/>
  <c r="N216" i="1"/>
  <c r="P215" i="1"/>
  <c r="Q215" i="1" s="1"/>
  <c r="O215" i="1"/>
  <c r="N215" i="1"/>
  <c r="P214" i="1"/>
  <c r="Q214" i="1" s="1"/>
  <c r="O214" i="1"/>
  <c r="N214" i="1"/>
  <c r="Q213" i="1"/>
  <c r="N213" i="1"/>
  <c r="Q212" i="1"/>
  <c r="N212" i="1"/>
  <c r="P211" i="1"/>
  <c r="Q211" i="1" s="1"/>
  <c r="O211" i="1"/>
  <c r="N211" i="1"/>
  <c r="P210" i="1"/>
  <c r="Q210" i="1" s="1"/>
  <c r="O210" i="1"/>
  <c r="N210" i="1"/>
  <c r="P209" i="1"/>
  <c r="Q209" i="1" s="1"/>
  <c r="O209" i="1"/>
  <c r="N209" i="1"/>
  <c r="P208" i="1"/>
  <c r="Q208" i="1" s="1"/>
  <c r="O208" i="1"/>
  <c r="N208" i="1"/>
  <c r="Q207" i="1"/>
  <c r="N207" i="1"/>
  <c r="Q206" i="1"/>
  <c r="N206" i="1"/>
  <c r="P205" i="1"/>
  <c r="Q205" i="1" s="1"/>
  <c r="O205" i="1"/>
  <c r="N205" i="1"/>
  <c r="P204" i="1"/>
  <c r="Q204" i="1" s="1"/>
  <c r="O204" i="1"/>
  <c r="N204" i="1"/>
  <c r="Q203" i="1"/>
  <c r="N203" i="1"/>
  <c r="Q202" i="1"/>
  <c r="N202" i="1"/>
  <c r="P201" i="1"/>
  <c r="Q201" i="1" s="1"/>
  <c r="O201" i="1"/>
  <c r="N201" i="1"/>
  <c r="P200" i="1"/>
  <c r="Q200" i="1" s="1"/>
  <c r="O200" i="1"/>
  <c r="N200" i="1"/>
  <c r="Q199" i="1"/>
  <c r="N199" i="1"/>
  <c r="Q198" i="1"/>
  <c r="N198" i="1"/>
  <c r="Q197" i="1"/>
  <c r="N197" i="1"/>
  <c r="Q196" i="1"/>
  <c r="N196" i="1"/>
  <c r="Q195" i="1"/>
  <c r="N195" i="1"/>
  <c r="Q194" i="1"/>
  <c r="N194" i="1"/>
  <c r="P193" i="1"/>
  <c r="Q193" i="1" s="1"/>
  <c r="O193" i="1"/>
  <c r="N193" i="1"/>
  <c r="P192" i="1"/>
  <c r="Q192" i="1" s="1"/>
  <c r="O192" i="1"/>
  <c r="N192" i="1"/>
  <c r="P191" i="1"/>
  <c r="Q191" i="1" s="1"/>
  <c r="O191" i="1"/>
  <c r="N191" i="1"/>
  <c r="P190" i="1"/>
  <c r="Q190" i="1" s="1"/>
  <c r="O190" i="1"/>
  <c r="N190" i="1"/>
  <c r="Q189" i="1"/>
  <c r="N189" i="1"/>
  <c r="N188" i="1"/>
  <c r="N187" i="1"/>
  <c r="N186" i="1"/>
  <c r="N185" i="1"/>
  <c r="N184" i="1"/>
  <c r="N183" i="1"/>
  <c r="P182" i="1"/>
  <c r="Q182" i="1" s="1"/>
  <c r="O182" i="1"/>
  <c r="N182" i="1"/>
  <c r="P181" i="1"/>
  <c r="Q181" i="1" s="1"/>
  <c r="O181" i="1"/>
  <c r="N181" i="1"/>
  <c r="P180" i="1"/>
  <c r="Q180" i="1" s="1"/>
  <c r="O180" i="1"/>
  <c r="N180" i="1"/>
  <c r="P179" i="1"/>
  <c r="Q179" i="1" s="1"/>
  <c r="O179" i="1"/>
  <c r="N179" i="1"/>
  <c r="P178" i="1"/>
  <c r="Q178" i="1" s="1"/>
  <c r="O178" i="1"/>
  <c r="N178" i="1"/>
  <c r="P177" i="1"/>
  <c r="Q177" i="1" s="1"/>
  <c r="O177" i="1"/>
  <c r="N177" i="1"/>
  <c r="Q176" i="1"/>
  <c r="N176" i="1"/>
  <c r="Q175" i="1"/>
  <c r="N175" i="1"/>
  <c r="P174" i="1"/>
  <c r="Q174" i="1" s="1"/>
  <c r="O174" i="1"/>
  <c r="N174" i="1"/>
  <c r="P173" i="1"/>
  <c r="Q173" i="1" s="1"/>
  <c r="O173" i="1"/>
  <c r="N173" i="1"/>
  <c r="P172" i="1"/>
  <c r="Q172" i="1" s="1"/>
  <c r="O172" i="1"/>
  <c r="N172" i="1"/>
  <c r="N171" i="1"/>
  <c r="Q170" i="1"/>
  <c r="N170" i="1"/>
  <c r="Q169" i="1"/>
  <c r="P169" i="1"/>
  <c r="O169" i="1"/>
  <c r="N169" i="1"/>
  <c r="N168" i="1"/>
  <c r="P167" i="1"/>
  <c r="Q167" i="1" s="1"/>
  <c r="O167" i="1"/>
  <c r="N167" i="1"/>
  <c r="Q166" i="1"/>
  <c r="N166" i="1"/>
  <c r="Q165" i="1"/>
  <c r="N165" i="1"/>
  <c r="Q164" i="1"/>
  <c r="N164" i="1"/>
  <c r="Q163" i="1"/>
  <c r="N163" i="1"/>
  <c r="Q162" i="1"/>
  <c r="N162" i="1"/>
  <c r="Q161" i="1"/>
  <c r="N161" i="1"/>
  <c r="Q160" i="1"/>
  <c r="N160" i="1"/>
  <c r="Q159" i="1"/>
  <c r="N159" i="1"/>
  <c r="Q158" i="1"/>
  <c r="N158" i="1"/>
  <c r="Q157" i="1"/>
  <c r="N157" i="1"/>
  <c r="Q156" i="1"/>
  <c r="N156" i="1"/>
  <c r="Q155" i="1"/>
  <c r="N155" i="1"/>
  <c r="Q154" i="1"/>
  <c r="N154" i="1"/>
  <c r="Q153" i="1"/>
  <c r="N153" i="1"/>
  <c r="Q152" i="1"/>
  <c r="N152" i="1"/>
  <c r="Q151" i="1"/>
  <c r="N151" i="1"/>
  <c r="Q150" i="1"/>
  <c r="N150" i="1"/>
  <c r="N149" i="1"/>
  <c r="P148" i="1"/>
  <c r="Q148" i="1" s="1"/>
  <c r="O148" i="1"/>
  <c r="N148" i="1"/>
  <c r="N147" i="1"/>
  <c r="P146" i="1"/>
  <c r="Q146" i="1" s="1"/>
  <c r="O146" i="1"/>
  <c r="N146" i="1"/>
  <c r="P145" i="1"/>
  <c r="Q145" i="1" s="1"/>
  <c r="O145" i="1"/>
  <c r="N145" i="1"/>
  <c r="P144" i="1"/>
  <c r="Q144" i="1" s="1"/>
  <c r="O144" i="1"/>
  <c r="N144" i="1"/>
  <c r="P143" i="1"/>
  <c r="Q143" i="1" s="1"/>
  <c r="O143" i="1"/>
  <c r="N143" i="1"/>
  <c r="Q142" i="1"/>
  <c r="N142" i="1"/>
  <c r="Q141" i="1"/>
  <c r="N141" i="1"/>
  <c r="Q140" i="1"/>
  <c r="N140" i="1"/>
  <c r="N139" i="1"/>
  <c r="N138" i="1"/>
  <c r="P137" i="1"/>
  <c r="Q137" i="1" s="1"/>
  <c r="O137" i="1"/>
  <c r="N137" i="1"/>
  <c r="N136" i="1"/>
  <c r="Q135" i="1"/>
  <c r="P135" i="1"/>
  <c r="O135" i="1"/>
  <c r="N135" i="1"/>
  <c r="N134" i="1"/>
  <c r="N133" i="1"/>
  <c r="Q132" i="1"/>
  <c r="P132" i="1"/>
  <c r="O132" i="1"/>
  <c r="N132" i="1"/>
  <c r="Q131" i="1"/>
  <c r="P131" i="1"/>
  <c r="O131" i="1"/>
  <c r="N131" i="1"/>
  <c r="Q130" i="1"/>
  <c r="N130" i="1"/>
  <c r="Q129" i="1"/>
  <c r="N129" i="1"/>
  <c r="Q128" i="1"/>
  <c r="P128" i="1"/>
  <c r="O128" i="1"/>
  <c r="N128" i="1"/>
  <c r="Q127" i="1"/>
  <c r="P127" i="1"/>
  <c r="O127" i="1"/>
  <c r="N127" i="1"/>
  <c r="Q126" i="1"/>
  <c r="P126" i="1"/>
  <c r="O126" i="1"/>
  <c r="N126" i="1"/>
  <c r="Q125" i="1"/>
  <c r="N125" i="1"/>
  <c r="Q124" i="1"/>
  <c r="N124" i="1"/>
  <c r="Q123" i="1"/>
  <c r="N123" i="1"/>
  <c r="Q122" i="1"/>
  <c r="N122" i="1"/>
  <c r="Q121" i="1"/>
  <c r="P121" i="1"/>
  <c r="O121" i="1"/>
  <c r="N121" i="1"/>
  <c r="Q120" i="1"/>
  <c r="P120" i="1"/>
  <c r="O120" i="1"/>
  <c r="N120" i="1"/>
  <c r="Q119" i="1"/>
  <c r="P119" i="1"/>
  <c r="O119" i="1"/>
  <c r="N119" i="1"/>
  <c r="Q118" i="1"/>
  <c r="N118" i="1"/>
  <c r="N117" i="1"/>
  <c r="P116" i="1"/>
  <c r="Q116" i="1" s="1"/>
  <c r="O116" i="1"/>
  <c r="N116" i="1"/>
  <c r="P115" i="1"/>
  <c r="Q115" i="1" s="1"/>
  <c r="O115" i="1"/>
  <c r="N115" i="1"/>
  <c r="N114" i="1"/>
  <c r="Q113" i="1"/>
  <c r="P113" i="1"/>
  <c r="O113" i="1"/>
  <c r="N113" i="1"/>
  <c r="Q112" i="1"/>
  <c r="P112" i="1"/>
  <c r="O112" i="1"/>
  <c r="N112" i="1"/>
  <c r="Q111" i="1"/>
  <c r="N111" i="1"/>
  <c r="Q110" i="1"/>
  <c r="N110" i="1"/>
  <c r="N109" i="1"/>
  <c r="P108" i="1"/>
  <c r="Q108" i="1" s="1"/>
  <c r="O108" i="1"/>
  <c r="N108" i="1"/>
  <c r="P107" i="1"/>
  <c r="Q107" i="1" s="1"/>
  <c r="O107" i="1"/>
  <c r="N107" i="1"/>
  <c r="Q106" i="1"/>
  <c r="N106" i="1"/>
  <c r="P105" i="1"/>
  <c r="Q105" i="1" s="1"/>
  <c r="O105" i="1"/>
  <c r="N105" i="1"/>
  <c r="P104" i="1"/>
  <c r="Q104" i="1" s="1"/>
  <c r="O104" i="1"/>
  <c r="N104" i="1"/>
  <c r="P103" i="1"/>
  <c r="Q103" i="1" s="1"/>
  <c r="O103" i="1"/>
  <c r="N103" i="1"/>
  <c r="P102" i="1"/>
  <c r="Q102" i="1" s="1"/>
  <c r="O102" i="1"/>
  <c r="N102" i="1"/>
  <c r="N101" i="1"/>
  <c r="Q100" i="1"/>
  <c r="P100" i="1"/>
  <c r="O100" i="1"/>
  <c r="N100" i="1"/>
  <c r="Q99" i="1"/>
  <c r="P99" i="1"/>
  <c r="O99" i="1"/>
  <c r="N99" i="1"/>
  <c r="N98" i="1"/>
  <c r="P97" i="1"/>
  <c r="Q97" i="1" s="1"/>
  <c r="O97" i="1"/>
  <c r="N97" i="1"/>
  <c r="P96" i="1"/>
  <c r="Q96" i="1" s="1"/>
  <c r="O96" i="1"/>
  <c r="N96" i="1"/>
  <c r="Q95" i="1"/>
  <c r="N95" i="1"/>
  <c r="Q94" i="1"/>
  <c r="N94" i="1"/>
  <c r="N93" i="1"/>
  <c r="Q92" i="1"/>
  <c r="P92" i="1"/>
  <c r="O92" i="1"/>
  <c r="N92" i="1"/>
  <c r="Q91" i="1"/>
  <c r="P91" i="1"/>
  <c r="O91" i="1"/>
  <c r="N91" i="1"/>
  <c r="N90" i="1"/>
  <c r="P89" i="1"/>
  <c r="Q89" i="1" s="1"/>
  <c r="O89" i="1"/>
  <c r="N89" i="1"/>
  <c r="P88" i="1"/>
  <c r="Q88" i="1" s="1"/>
  <c r="O88" i="1"/>
  <c r="N88" i="1"/>
  <c r="Q87" i="1"/>
  <c r="N87" i="1"/>
  <c r="P86" i="1"/>
  <c r="Q86" i="1" s="1"/>
  <c r="O86" i="1"/>
  <c r="N86" i="1"/>
  <c r="Q85" i="1"/>
  <c r="N85" i="1"/>
  <c r="P84" i="1"/>
  <c r="Q84" i="1" s="1"/>
  <c r="O84" i="1"/>
  <c r="N84" i="1"/>
  <c r="P83" i="1"/>
  <c r="Q83" i="1" s="1"/>
  <c r="O83" i="1"/>
  <c r="N83" i="1"/>
  <c r="N82" i="1"/>
  <c r="P81" i="1"/>
  <c r="Q81" i="1" s="1"/>
  <c r="O81" i="1"/>
  <c r="N81" i="1"/>
  <c r="P80" i="1"/>
  <c r="Q80" i="1" s="1"/>
  <c r="O80" i="1"/>
  <c r="N80" i="1"/>
  <c r="N79" i="1"/>
  <c r="P78" i="1"/>
  <c r="Q78" i="1" s="1"/>
  <c r="O78" i="1"/>
  <c r="N78" i="1"/>
  <c r="P77" i="1"/>
  <c r="Q77" i="1" s="1"/>
  <c r="O77" i="1"/>
  <c r="N77" i="1"/>
  <c r="N76" i="1"/>
  <c r="P75" i="1"/>
  <c r="Q75" i="1" s="1"/>
  <c r="O75" i="1"/>
  <c r="N75" i="1"/>
  <c r="N74" i="1"/>
  <c r="P73" i="1"/>
  <c r="Q73" i="1" s="1"/>
  <c r="O73" i="1"/>
  <c r="N73" i="1"/>
  <c r="Q72" i="1"/>
  <c r="N72" i="1"/>
  <c r="P71" i="1"/>
  <c r="Q71" i="1" s="1"/>
  <c r="O71" i="1"/>
  <c r="N71" i="1"/>
  <c r="P70" i="1"/>
  <c r="Q70" i="1" s="1"/>
  <c r="O70" i="1"/>
  <c r="N70" i="1"/>
  <c r="N69" i="1"/>
  <c r="Q68" i="1"/>
  <c r="P68" i="1"/>
  <c r="O68" i="1"/>
  <c r="N68" i="1"/>
  <c r="Q67" i="1"/>
  <c r="N67" i="1"/>
  <c r="Q66" i="1"/>
  <c r="N66" i="1"/>
  <c r="Q65" i="1"/>
  <c r="N65" i="1"/>
  <c r="N64" i="1"/>
  <c r="P63" i="1"/>
  <c r="Q63" i="1" s="1"/>
  <c r="O63" i="1"/>
  <c r="N63" i="1"/>
  <c r="N62" i="1"/>
  <c r="N61" i="1"/>
  <c r="P60" i="1"/>
  <c r="Q60" i="1" s="1"/>
  <c r="O60" i="1"/>
  <c r="N60" i="1"/>
  <c r="Q59" i="1"/>
  <c r="N59" i="1"/>
  <c r="N58" i="1"/>
  <c r="P57" i="1"/>
  <c r="Q57" i="1" s="1"/>
  <c r="O57" i="1"/>
  <c r="N57" i="1"/>
  <c r="Q56" i="1"/>
  <c r="N56" i="1"/>
  <c r="Q55" i="1"/>
  <c r="N55" i="1"/>
  <c r="P54" i="1"/>
  <c r="Q54" i="1" s="1"/>
  <c r="O54" i="1"/>
  <c r="N54" i="1"/>
  <c r="N53" i="1"/>
  <c r="P52" i="1"/>
  <c r="Q52" i="1" s="1"/>
  <c r="O52" i="1"/>
  <c r="N52" i="1"/>
  <c r="P51" i="1"/>
  <c r="Q51" i="1" s="1"/>
  <c r="O51" i="1"/>
  <c r="N51" i="1"/>
  <c r="P50" i="1"/>
  <c r="Q50" i="1" s="1"/>
  <c r="O50" i="1"/>
  <c r="N50" i="1"/>
  <c r="P49" i="1"/>
  <c r="Q49" i="1" s="1"/>
  <c r="O49" i="1"/>
  <c r="N49" i="1"/>
  <c r="P48" i="1"/>
  <c r="Q48" i="1" s="1"/>
  <c r="O48" i="1"/>
  <c r="N48" i="1"/>
  <c r="P47" i="1"/>
  <c r="Q47" i="1" s="1"/>
  <c r="O47" i="1"/>
  <c r="N47" i="1"/>
  <c r="P46" i="1"/>
  <c r="Q46" i="1" s="1"/>
  <c r="O46" i="1"/>
  <c r="N46" i="1"/>
  <c r="P45" i="1"/>
  <c r="Q45" i="1" s="1"/>
  <c r="O45" i="1"/>
  <c r="N45" i="1"/>
  <c r="P44" i="1"/>
  <c r="Q44" i="1" s="1"/>
  <c r="O44" i="1"/>
  <c r="N44" i="1"/>
  <c r="Q43" i="1"/>
  <c r="N43" i="1"/>
  <c r="Q42" i="1"/>
  <c r="N42" i="1"/>
  <c r="P41" i="1"/>
  <c r="Q41" i="1" s="1"/>
  <c r="O41" i="1"/>
  <c r="N41" i="1"/>
  <c r="P40" i="1"/>
  <c r="Q40" i="1" s="1"/>
  <c r="O40" i="1"/>
  <c r="N40" i="1"/>
  <c r="P39" i="1"/>
  <c r="Q39" i="1" s="1"/>
  <c r="O39" i="1"/>
  <c r="N39" i="1"/>
  <c r="P38" i="1"/>
  <c r="Q38" i="1" s="1"/>
  <c r="O38" i="1"/>
  <c r="N38" i="1"/>
  <c r="P37" i="1"/>
  <c r="Q37" i="1" s="1"/>
  <c r="O37" i="1"/>
  <c r="N37" i="1"/>
  <c r="P36" i="1"/>
  <c r="Q36" i="1" s="1"/>
  <c r="O36" i="1"/>
  <c r="N36" i="1"/>
  <c r="P35" i="1"/>
  <c r="Q35" i="1" s="1"/>
  <c r="O35" i="1"/>
  <c r="N35" i="1"/>
  <c r="P34" i="1"/>
  <c r="Q34" i="1" s="1"/>
  <c r="O34" i="1"/>
  <c r="N34" i="1"/>
  <c r="Q33" i="1"/>
  <c r="N33" i="1"/>
  <c r="P32" i="1"/>
  <c r="Q32" i="1" s="1"/>
  <c r="O32" i="1"/>
  <c r="N32" i="1"/>
  <c r="P31" i="1"/>
  <c r="Q31" i="1" s="1"/>
  <c r="O31" i="1"/>
  <c r="N31" i="1"/>
  <c r="Q30" i="1"/>
  <c r="N30" i="1"/>
  <c r="Q29" i="1"/>
  <c r="N29" i="1"/>
  <c r="Q28" i="1"/>
  <c r="N28" i="1"/>
  <c r="P27" i="1"/>
  <c r="Q27" i="1" s="1"/>
  <c r="O27" i="1"/>
  <c r="N27" i="1"/>
  <c r="P26" i="1"/>
  <c r="Q26" i="1" s="1"/>
  <c r="O26" i="1"/>
  <c r="N26" i="1"/>
  <c r="Q25" i="1"/>
  <c r="N25" i="1"/>
  <c r="P24" i="1"/>
  <c r="Q24" i="1" s="1"/>
  <c r="O24" i="1"/>
  <c r="N24" i="1"/>
  <c r="P23" i="1"/>
  <c r="Q23" i="1" s="1"/>
  <c r="O23" i="1"/>
  <c r="N23" i="1"/>
  <c r="P22" i="1"/>
  <c r="Q22" i="1" s="1"/>
  <c r="O22" i="1"/>
  <c r="N22" i="1"/>
  <c r="P21" i="1"/>
  <c r="Q21" i="1" s="1"/>
  <c r="O21" i="1"/>
  <c r="N21" i="1"/>
  <c r="P20" i="1"/>
  <c r="Q20" i="1" s="1"/>
  <c r="O20" i="1"/>
  <c r="N20" i="1"/>
  <c r="P19" i="1"/>
  <c r="Q19" i="1" s="1"/>
  <c r="O19" i="1"/>
  <c r="N19" i="1"/>
  <c r="P18" i="1"/>
  <c r="Q18" i="1" s="1"/>
  <c r="O18" i="1"/>
  <c r="N18" i="1"/>
  <c r="P17" i="1"/>
  <c r="Q17" i="1" s="1"/>
  <c r="O17" i="1"/>
  <c r="N17" i="1"/>
  <c r="P16" i="1"/>
  <c r="Q16" i="1" s="1"/>
  <c r="O16" i="1"/>
  <c r="N16" i="1"/>
  <c r="N15" i="1"/>
  <c r="P14" i="1"/>
  <c r="Q14" i="1" s="1"/>
  <c r="O14" i="1"/>
  <c r="N14" i="1"/>
  <c r="P13" i="1"/>
  <c r="Q13" i="1" s="1"/>
  <c r="O13" i="1"/>
  <c r="N13" i="1"/>
  <c r="N12" i="1"/>
  <c r="P11" i="1"/>
  <c r="Q11" i="1" s="1"/>
  <c r="O11" i="1"/>
  <c r="N11" i="1"/>
  <c r="P10" i="1"/>
  <c r="Q10" i="1" s="1"/>
  <c r="O10" i="1"/>
  <c r="N10" i="1"/>
  <c r="P9" i="1"/>
  <c r="Q9" i="1" s="1"/>
  <c r="O9" i="1"/>
  <c r="N9" i="1"/>
  <c r="P8" i="1"/>
  <c r="Q8" i="1" s="1"/>
  <c r="O8" i="1"/>
  <c r="N8" i="1"/>
  <c r="N7" i="1"/>
  <c r="P6" i="1"/>
  <c r="Q6" i="1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</calcChain>
</file>

<file path=xl/sharedStrings.xml><?xml version="1.0" encoding="utf-8"?>
<sst xmlns="http://schemas.openxmlformats.org/spreadsheetml/2006/main" count="3884" uniqueCount="1684">
  <si>
    <t>č.</t>
  </si>
  <si>
    <t xml:space="preserve">druh </t>
  </si>
  <si>
    <t>místo</t>
  </si>
  <si>
    <t>trať</t>
  </si>
  <si>
    <t>km</t>
  </si>
  <si>
    <t>r.v.</t>
  </si>
  <si>
    <t>RZ</t>
  </si>
  <si>
    <t>VRZ</t>
  </si>
  <si>
    <t>r. VRZ</t>
  </si>
  <si>
    <t>posl. RZ</t>
  </si>
  <si>
    <t>Provedení</t>
  </si>
  <si>
    <t>Násl.RZ</t>
  </si>
  <si>
    <t>Udržující</t>
  </si>
  <si>
    <t>Telefon</t>
  </si>
  <si>
    <t>Z</t>
  </si>
  <si>
    <t>Plzeň</t>
  </si>
  <si>
    <t>nezjištěna</t>
  </si>
  <si>
    <t>Sitka</t>
  </si>
  <si>
    <t>98-21-MP</t>
  </si>
  <si>
    <t>96-21-MP</t>
  </si>
  <si>
    <t>Plzeň Jižní př.</t>
  </si>
  <si>
    <t>22-23-MP</t>
  </si>
  <si>
    <t>Plzeň Nová Hospoda</t>
  </si>
  <si>
    <t>64-24-JW</t>
  </si>
  <si>
    <t>100-21-MP</t>
  </si>
  <si>
    <t>719_Plzeň-Žatec</t>
  </si>
  <si>
    <t>04-21-MP</t>
  </si>
  <si>
    <t>Třemošná</t>
  </si>
  <si>
    <t>Horní Bříza</t>
  </si>
  <si>
    <t>34-24-MP</t>
  </si>
  <si>
    <t>Kaznějov</t>
  </si>
  <si>
    <t>56-21-MP</t>
  </si>
  <si>
    <t>Plasy</t>
  </si>
  <si>
    <t>32-21-MP</t>
  </si>
  <si>
    <t>Mladotice</t>
  </si>
  <si>
    <t>02-21-MP</t>
  </si>
  <si>
    <t>Žihle</t>
  </si>
  <si>
    <t>53-21-MP</t>
  </si>
  <si>
    <t>Plzeň Koterov</t>
  </si>
  <si>
    <t>709B_Hor.-Plz.</t>
  </si>
  <si>
    <t>Fruhbauer</t>
  </si>
  <si>
    <t>83-19-MP</t>
  </si>
  <si>
    <t>Prusík</t>
  </si>
  <si>
    <t>24-24-MP</t>
  </si>
  <si>
    <t>Nezvěstice</t>
  </si>
  <si>
    <t>VRZ 2020</t>
  </si>
  <si>
    <t>Frühbauer</t>
  </si>
  <si>
    <t>07-24-MP</t>
  </si>
  <si>
    <t>Ždírec</t>
  </si>
  <si>
    <t>Klimeš</t>
  </si>
  <si>
    <t>Pačejov</t>
  </si>
  <si>
    <t>57-20-MP</t>
  </si>
  <si>
    <t>Ejpovice</t>
  </si>
  <si>
    <t>713A_Plz.-Beroun</t>
  </si>
  <si>
    <t>Rokycany</t>
  </si>
  <si>
    <t>23-23-MP</t>
  </si>
  <si>
    <t>Holoubkov</t>
  </si>
  <si>
    <t>31-21-MP</t>
  </si>
  <si>
    <t>Kařízek</t>
  </si>
  <si>
    <t>50-22-MP</t>
  </si>
  <si>
    <t>nákl. Zbiroh</t>
  </si>
  <si>
    <t>28-22-MP</t>
  </si>
  <si>
    <t>Vejprnice</t>
  </si>
  <si>
    <t>712A_Plz.-Č.Kub.</t>
  </si>
  <si>
    <t>24-20-MP</t>
  </si>
  <si>
    <t>Nýřany</t>
  </si>
  <si>
    <t>44-23-MP</t>
  </si>
  <si>
    <t>výh. Chotěšov</t>
  </si>
  <si>
    <t>19-21-MP</t>
  </si>
  <si>
    <t>Stod</t>
  </si>
  <si>
    <t>Píhrt</t>
  </si>
  <si>
    <t>20-21-MP</t>
  </si>
  <si>
    <t>Z, T</t>
  </si>
  <si>
    <t>Holýšov žst.</t>
  </si>
  <si>
    <t>Kl/KP</t>
  </si>
  <si>
    <t>Staňkov</t>
  </si>
  <si>
    <t>05-21-MP</t>
  </si>
  <si>
    <t>Veselý</t>
  </si>
  <si>
    <t>Blížejov</t>
  </si>
  <si>
    <t>?/Frühbauer</t>
  </si>
  <si>
    <t>2006 (TZZ)</t>
  </si>
  <si>
    <t>25-20-MP</t>
  </si>
  <si>
    <t>výh. Radonice</t>
  </si>
  <si>
    <t>Píša</t>
  </si>
  <si>
    <t>53-20-MP</t>
  </si>
  <si>
    <t>Domažlice</t>
  </si>
  <si>
    <t>56-23-MP</t>
  </si>
  <si>
    <t>Česká Kubice</t>
  </si>
  <si>
    <t>12-24-MP</t>
  </si>
  <si>
    <t>57-23-MP</t>
  </si>
  <si>
    <t>Z,T</t>
  </si>
  <si>
    <t>Pocinovice</t>
  </si>
  <si>
    <t>710B_Klat.-Dom.</t>
  </si>
  <si>
    <t>VRZ 2022</t>
  </si>
  <si>
    <t>711_Plz.-Ž.Ruda</t>
  </si>
  <si>
    <t>Dolejš</t>
  </si>
  <si>
    <t>Dobřany</t>
  </si>
  <si>
    <t>54-24-JW</t>
  </si>
  <si>
    <t>Přeštice</t>
  </si>
  <si>
    <t>Švihov</t>
  </si>
  <si>
    <t>Klatovy DOZ</t>
  </si>
  <si>
    <t>51-24-JW</t>
  </si>
  <si>
    <t>Klatovy</t>
  </si>
  <si>
    <t>06-23-MP</t>
  </si>
  <si>
    <t>58-20-MP</t>
  </si>
  <si>
    <t>Nýrsko</t>
  </si>
  <si>
    <t>60-20-MP</t>
  </si>
  <si>
    <t>Zelená Lhota</t>
  </si>
  <si>
    <t>Hamry-Hojsova Stráž</t>
  </si>
  <si>
    <t>Špičák</t>
  </si>
  <si>
    <t>Železná Ruda-Alžbětín</t>
  </si>
  <si>
    <t>Velké Hydčice</t>
  </si>
  <si>
    <t>710A_Hor.-Klat.</t>
  </si>
  <si>
    <t>Drda/Prusík</t>
  </si>
  <si>
    <t>1974/2021</t>
  </si>
  <si>
    <t>29-21-MP</t>
  </si>
  <si>
    <t>Žichovice</t>
  </si>
  <si>
    <t>2010/2017</t>
  </si>
  <si>
    <t>45-20-MP</t>
  </si>
  <si>
    <t>Sušice</t>
  </si>
  <si>
    <t>Kloboučník</t>
  </si>
  <si>
    <t>2013/2014</t>
  </si>
  <si>
    <t>Hrádek u Sušice</t>
  </si>
  <si>
    <t>s</t>
  </si>
  <si>
    <t>Hrnčíř</t>
  </si>
  <si>
    <t>2011/2012</t>
  </si>
  <si>
    <t>15-24-MP</t>
  </si>
  <si>
    <t>Kolinec</t>
  </si>
  <si>
    <t>Urban</t>
  </si>
  <si>
    <t>52-24-JW</t>
  </si>
  <si>
    <t>Nemilkov</t>
  </si>
  <si>
    <t>Běšiny</t>
  </si>
  <si>
    <t>Křimice</t>
  </si>
  <si>
    <t>720_Plz.-Cheb</t>
  </si>
  <si>
    <t>66-21-MP</t>
  </si>
  <si>
    <t>Kozolupy</t>
  </si>
  <si>
    <t>31-22-MP</t>
  </si>
  <si>
    <t>Pňovany</t>
  </si>
  <si>
    <t>45-22-MP</t>
  </si>
  <si>
    <t>18-23-MP</t>
  </si>
  <si>
    <t>Stříbro</t>
  </si>
  <si>
    <t>13-20-MP</t>
  </si>
  <si>
    <t>Milíkov</t>
  </si>
  <si>
    <t>10-20-MP</t>
  </si>
  <si>
    <t>Svojšín</t>
  </si>
  <si>
    <t>01-23-MP</t>
  </si>
  <si>
    <t>Ošelín</t>
  </si>
  <si>
    <t>12-21-MP</t>
  </si>
  <si>
    <t>Pavlovice</t>
  </si>
  <si>
    <t>41-22-MP</t>
  </si>
  <si>
    <t>Brod n.Tichou</t>
  </si>
  <si>
    <t>45-24-JW</t>
  </si>
  <si>
    <t>Planá u M.L.</t>
  </si>
  <si>
    <t>49-24-JW</t>
  </si>
  <si>
    <t>Chodová Planá</t>
  </si>
  <si>
    <t>65-24-JW</t>
  </si>
  <si>
    <t>Kamenný Újezd</t>
  </si>
  <si>
    <t>714A_R.c.-Nezv.</t>
  </si>
  <si>
    <t>Žabokrtský</t>
  </si>
  <si>
    <t>52-21-MP</t>
  </si>
  <si>
    <t>Mirošov</t>
  </si>
  <si>
    <t>85-21-MP</t>
  </si>
  <si>
    <t>Příkosice</t>
  </si>
  <si>
    <t>86-21-MP</t>
  </si>
  <si>
    <t>T</t>
  </si>
  <si>
    <t>Plzeň-Ejpovice tunel</t>
  </si>
  <si>
    <t>51-23-MP</t>
  </si>
  <si>
    <t>44-21-MP</t>
  </si>
  <si>
    <t>45-21-MP</t>
  </si>
  <si>
    <t>29-22-MP</t>
  </si>
  <si>
    <t>58-24-JW</t>
  </si>
  <si>
    <t xml:space="preserve">Vejprnice-Nýřany </t>
  </si>
  <si>
    <t>Slaný</t>
  </si>
  <si>
    <t>Nýřany-Chotěšov</t>
  </si>
  <si>
    <t>59-24-JW</t>
  </si>
  <si>
    <t>Chotěšov-Stod</t>
  </si>
  <si>
    <t>VRZ 2021</t>
  </si>
  <si>
    <t>Plzeň Již.-Křimice</t>
  </si>
  <si>
    <t>35-23-MP</t>
  </si>
  <si>
    <t>30-22-MP</t>
  </si>
  <si>
    <t>08-23-MP</t>
  </si>
  <si>
    <t>11-23-MP</t>
  </si>
  <si>
    <t>12-23-MP</t>
  </si>
  <si>
    <t>12-20-MP</t>
  </si>
  <si>
    <t>03-23-MP</t>
  </si>
  <si>
    <t>09-21-MP</t>
  </si>
  <si>
    <t>10-21-MP</t>
  </si>
  <si>
    <t>31-20-MP</t>
  </si>
  <si>
    <t>48-24-JW</t>
  </si>
  <si>
    <t>Kdyně</t>
  </si>
  <si>
    <t>P</t>
  </si>
  <si>
    <t>P8463</t>
  </si>
  <si>
    <t>01-22-MP</t>
  </si>
  <si>
    <t>St.Plzenec</t>
  </si>
  <si>
    <t>P1203</t>
  </si>
  <si>
    <t>41-24-MP</t>
  </si>
  <si>
    <t>P1202</t>
  </si>
  <si>
    <t>42-24-MP</t>
  </si>
  <si>
    <t>Štáhlavy "B2"</t>
  </si>
  <si>
    <t>P1200</t>
  </si>
  <si>
    <t>04-20-MP</t>
  </si>
  <si>
    <t>Nezvěstice "B1"</t>
  </si>
  <si>
    <t>P1198</t>
  </si>
  <si>
    <t>03-20-MP</t>
  </si>
  <si>
    <t>Nezvěstice "A5"</t>
  </si>
  <si>
    <t>P1197</t>
  </si>
  <si>
    <t>23-22-MP</t>
  </si>
  <si>
    <t>Nezvěstice "A4"</t>
  </si>
  <si>
    <t>P1196</t>
  </si>
  <si>
    <t>22-22-MP</t>
  </si>
  <si>
    <t>Nezvěstice "A3"</t>
  </si>
  <si>
    <t>P1195</t>
  </si>
  <si>
    <t>21-22-MP</t>
  </si>
  <si>
    <t>Zdemyslice</t>
  </si>
  <si>
    <t>P1193</t>
  </si>
  <si>
    <t>27-24-MP</t>
  </si>
  <si>
    <t>P1192</t>
  </si>
  <si>
    <t>26-24-MP</t>
  </si>
  <si>
    <t>Blovice</t>
  </si>
  <si>
    <t>P1191</t>
  </si>
  <si>
    <t>08-24-MP</t>
  </si>
  <si>
    <t>Blovice "C"</t>
  </si>
  <si>
    <t>P1190</t>
  </si>
  <si>
    <t>16-23-MP</t>
  </si>
  <si>
    <t>Blovice "A"</t>
  </si>
  <si>
    <t>P1188</t>
  </si>
  <si>
    <t>14-23-MP</t>
  </si>
  <si>
    <t>Srby "B"</t>
  </si>
  <si>
    <t>P1185</t>
  </si>
  <si>
    <t>15-22-MP</t>
  </si>
  <si>
    <t>Srby "A"</t>
  </si>
  <si>
    <t>P1184</t>
  </si>
  <si>
    <t>14-22-MP</t>
  </si>
  <si>
    <t>Vráž</t>
  </si>
  <si>
    <t>P1181</t>
  </si>
  <si>
    <t>05-24-MP</t>
  </si>
  <si>
    <t>Kovčín</t>
  </si>
  <si>
    <t>P1180</t>
  </si>
  <si>
    <t>04-24-MP</t>
  </si>
  <si>
    <t>P1179</t>
  </si>
  <si>
    <t>Velký Bor</t>
  </si>
  <si>
    <t>P1178</t>
  </si>
  <si>
    <t>06-24-MP</t>
  </si>
  <si>
    <t>P1207</t>
  </si>
  <si>
    <t>48-22-MP</t>
  </si>
  <si>
    <t>P1210</t>
  </si>
  <si>
    <t>68-21-MP</t>
  </si>
  <si>
    <t>P1211</t>
  </si>
  <si>
    <t>69-21-MP</t>
  </si>
  <si>
    <t>P1212</t>
  </si>
  <si>
    <t>70-21-MP</t>
  </si>
  <si>
    <t>P1213</t>
  </si>
  <si>
    <t>71-21-MP</t>
  </si>
  <si>
    <t>Nová Huť</t>
  </si>
  <si>
    <t>P1214</t>
  </si>
  <si>
    <t>47-22-MP</t>
  </si>
  <si>
    <t>Hrádek</t>
  </si>
  <si>
    <t>P1216</t>
  </si>
  <si>
    <t>72-21-MP</t>
  </si>
  <si>
    <t>P1217</t>
  </si>
  <si>
    <t>73-21-MP</t>
  </si>
  <si>
    <t>74-21-MP</t>
  </si>
  <si>
    <t>P1220</t>
  </si>
  <si>
    <t>75-21-MP</t>
  </si>
  <si>
    <t>P1221</t>
  </si>
  <si>
    <t>76-21-MP</t>
  </si>
  <si>
    <t>Hrádek-Hory u Miroš.</t>
  </si>
  <si>
    <t>P1222</t>
  </si>
  <si>
    <t>77-21-MP</t>
  </si>
  <si>
    <t>P1223</t>
  </si>
  <si>
    <t>78-21-MP</t>
  </si>
  <si>
    <t>Mirošov zast.</t>
  </si>
  <si>
    <t>P1225</t>
  </si>
  <si>
    <t>Dolejš 2x</t>
  </si>
  <si>
    <t>2006/2012</t>
  </si>
  <si>
    <t>24-21-MP</t>
  </si>
  <si>
    <t>Mirošov město</t>
  </si>
  <si>
    <t>P1227</t>
  </si>
  <si>
    <t>2006/2013</t>
  </si>
  <si>
    <t>23-21-MP</t>
  </si>
  <si>
    <t>P1228</t>
  </si>
  <si>
    <t>79-21-MP</t>
  </si>
  <si>
    <t>P1229</t>
  </si>
  <si>
    <t>80-21-MP</t>
  </si>
  <si>
    <t>P1230</t>
  </si>
  <si>
    <t>81-21-MP</t>
  </si>
  <si>
    <t>P1231</t>
  </si>
  <si>
    <t>82-21-MP</t>
  </si>
  <si>
    <t>P1232</t>
  </si>
  <si>
    <t>83-21-MP</t>
  </si>
  <si>
    <t>P1233</t>
  </si>
  <si>
    <t>84-21-MP</t>
  </si>
  <si>
    <t>Mešno "C"</t>
  </si>
  <si>
    <t>P1237</t>
  </si>
  <si>
    <t>Švasta</t>
  </si>
  <si>
    <t>VRZ 2023</t>
  </si>
  <si>
    <t>P1239</t>
  </si>
  <si>
    <t>Kornatice</t>
  </si>
  <si>
    <t>P1246</t>
  </si>
  <si>
    <t>P1248</t>
  </si>
  <si>
    <t>Kornatice-rybník</t>
  </si>
  <si>
    <t>P1249</t>
  </si>
  <si>
    <t>19-22-MP</t>
  </si>
  <si>
    <t>Šťáhlavice</t>
  </si>
  <si>
    <t>P1251</t>
  </si>
  <si>
    <t>20-22-MP</t>
  </si>
  <si>
    <t>P1254</t>
  </si>
  <si>
    <t>Šv/Wimmer</t>
  </si>
  <si>
    <t>2022/2024</t>
  </si>
  <si>
    <t>P1256</t>
  </si>
  <si>
    <t>Chrást "1H"</t>
  </si>
  <si>
    <t>714B_Ejp.-Radnice</t>
  </si>
  <si>
    <t>P286</t>
  </si>
  <si>
    <t>33-24-MP</t>
  </si>
  <si>
    <t>Chrást "2H"</t>
  </si>
  <si>
    <t>P448</t>
  </si>
  <si>
    <t>Chrást "CS4"</t>
  </si>
  <si>
    <t>P450</t>
  </si>
  <si>
    <t>Chrást "CS5"</t>
  </si>
  <si>
    <t>P451</t>
  </si>
  <si>
    <t>Břasy</t>
  </si>
  <si>
    <t>P468</t>
  </si>
  <si>
    <t>52-22-MP</t>
  </si>
  <si>
    <t>P469</t>
  </si>
  <si>
    <t>53-22-MP</t>
  </si>
  <si>
    <t>Sedlecko</t>
  </si>
  <si>
    <t>P452</t>
  </si>
  <si>
    <t>P453</t>
  </si>
  <si>
    <t>Střapole CS8</t>
  </si>
  <si>
    <t>P454</t>
  </si>
  <si>
    <t>Střapole</t>
  </si>
  <si>
    <t>P455</t>
  </si>
  <si>
    <t>01-05-07/KK</t>
  </si>
  <si>
    <t>09-22-MP</t>
  </si>
  <si>
    <t>Stupno "CS10"</t>
  </si>
  <si>
    <t>P456</t>
  </si>
  <si>
    <t>Všenice</t>
  </si>
  <si>
    <t>P457</t>
  </si>
  <si>
    <t>02-05-07/KK</t>
  </si>
  <si>
    <t>11-22-MP</t>
  </si>
  <si>
    <t>P458</t>
  </si>
  <si>
    <t>03-05-07/KK</t>
  </si>
  <si>
    <t>10-22-MP</t>
  </si>
  <si>
    <t>Dolní Stupno</t>
  </si>
  <si>
    <t>P459</t>
  </si>
  <si>
    <t>04-22-MP</t>
  </si>
  <si>
    <t>P460</t>
  </si>
  <si>
    <t>05-22-MP</t>
  </si>
  <si>
    <t>P461</t>
  </si>
  <si>
    <t>06-22-MP</t>
  </si>
  <si>
    <t>Stupno</t>
  </si>
  <si>
    <t>Holoubkov Ho1</t>
  </si>
  <si>
    <t>P285</t>
  </si>
  <si>
    <t>50-21-MP</t>
  </si>
  <si>
    <t>Kařízek K1</t>
  </si>
  <si>
    <t>P284</t>
  </si>
  <si>
    <t>49-21-MP</t>
  </si>
  <si>
    <t>P, T</t>
  </si>
  <si>
    <t>Plzeň AHP 03</t>
  </si>
  <si>
    <t>P1669</t>
  </si>
  <si>
    <t>P1671</t>
  </si>
  <si>
    <t>21-24-MP</t>
  </si>
  <si>
    <t>P1672</t>
  </si>
  <si>
    <t>22-24-MP</t>
  </si>
  <si>
    <t>P1673</t>
  </si>
  <si>
    <t>23-24-MP</t>
  </si>
  <si>
    <t>Třemošná "A4"</t>
  </si>
  <si>
    <t>P1674</t>
  </si>
  <si>
    <t>22m-20-MP</t>
  </si>
  <si>
    <t>P1675</t>
  </si>
  <si>
    <t>Klob./JV</t>
  </si>
  <si>
    <t>21-20-MP</t>
  </si>
  <si>
    <t>P1676</t>
  </si>
  <si>
    <t>1979/2016</t>
  </si>
  <si>
    <t>20-23-MP</t>
  </si>
  <si>
    <t>Horní Bříza v RZZ</t>
  </si>
  <si>
    <t>P1677</t>
  </si>
  <si>
    <t>Obora u Kazněj.</t>
  </si>
  <si>
    <t>P1678</t>
  </si>
  <si>
    <t>Obora u Kazněj."C"</t>
  </si>
  <si>
    <t>P1679</t>
  </si>
  <si>
    <t>62-24-JW</t>
  </si>
  <si>
    <t>P1680</t>
  </si>
  <si>
    <t>51-22-MP</t>
  </si>
  <si>
    <t>P1681</t>
  </si>
  <si>
    <t>25-23-MP</t>
  </si>
  <si>
    <t>P1683</t>
  </si>
  <si>
    <t>20-20-MP</t>
  </si>
  <si>
    <t>Mladotice G1</t>
  </si>
  <si>
    <t>P1684</t>
  </si>
  <si>
    <t>30-20-MP</t>
  </si>
  <si>
    <t>hl.Jezero(Odlezly)</t>
  </si>
  <si>
    <t>P1685</t>
  </si>
  <si>
    <t>Prusík/JV</t>
  </si>
  <si>
    <t>1998/2021</t>
  </si>
  <si>
    <t>26-23-MP</t>
  </si>
  <si>
    <t>Potvorov(Přehořov)G3,4</t>
  </si>
  <si>
    <t>29-20-MP</t>
  </si>
  <si>
    <t>Žihle G5</t>
  </si>
  <si>
    <t>P1688</t>
  </si>
  <si>
    <t>28-20-MP</t>
  </si>
  <si>
    <t>Žihle G6</t>
  </si>
  <si>
    <t>P1689</t>
  </si>
  <si>
    <t>39-20-MP</t>
  </si>
  <si>
    <t>Žihle G7</t>
  </si>
  <si>
    <t>P1690</t>
  </si>
  <si>
    <t>38-20-MP</t>
  </si>
  <si>
    <t>Žihle G8</t>
  </si>
  <si>
    <t>P1691</t>
  </si>
  <si>
    <t>37-20-MP</t>
  </si>
  <si>
    <t>Pastuchovice H2</t>
  </si>
  <si>
    <t>P1692</t>
  </si>
  <si>
    <t>02V-22-MP</t>
  </si>
  <si>
    <t>Pastuchovice H4</t>
  </si>
  <si>
    <t>P1694</t>
  </si>
  <si>
    <t>19-20-MP</t>
  </si>
  <si>
    <t>Pastuchovice(Velečín)</t>
  </si>
  <si>
    <t>P1695</t>
  </si>
  <si>
    <t>18-20-MP</t>
  </si>
  <si>
    <t>P1696</t>
  </si>
  <si>
    <t>17-20-MP</t>
  </si>
  <si>
    <t>P599</t>
  </si>
  <si>
    <t>21-23-MP</t>
  </si>
  <si>
    <t>Tlučná</t>
  </si>
  <si>
    <t>33-21-MP</t>
  </si>
  <si>
    <t>vlečka Líně</t>
  </si>
  <si>
    <t>není SŽ</t>
  </si>
  <si>
    <t>P602</t>
  </si>
  <si>
    <t>12-22-MP</t>
  </si>
  <si>
    <t>P603</t>
  </si>
  <si>
    <t>13-22-MP</t>
  </si>
  <si>
    <t>P604</t>
  </si>
  <si>
    <t>31-23-MP</t>
  </si>
  <si>
    <t>P606</t>
  </si>
  <si>
    <t>60-24-JW</t>
  </si>
  <si>
    <t>Zbůch</t>
  </si>
  <si>
    <t>P607</t>
  </si>
  <si>
    <t>61-24-JW</t>
  </si>
  <si>
    <t>Chotěšov</t>
  </si>
  <si>
    <t>P608</t>
  </si>
  <si>
    <t>18-21-MP</t>
  </si>
  <si>
    <t>P609</t>
  </si>
  <si>
    <t>40-21-MP</t>
  </si>
  <si>
    <t>P610</t>
  </si>
  <si>
    <t>41-21-MP</t>
  </si>
  <si>
    <t>P611</t>
  </si>
  <si>
    <t>42-21-MP</t>
  </si>
  <si>
    <t>Hradec u Stoda</t>
  </si>
  <si>
    <t>P612</t>
  </si>
  <si>
    <t>43-21-MP</t>
  </si>
  <si>
    <t>Holýšov</t>
  </si>
  <si>
    <t>P615</t>
  </si>
  <si>
    <t>23m-20-MP</t>
  </si>
  <si>
    <t>P618</t>
  </si>
  <si>
    <t>2011/2019</t>
  </si>
  <si>
    <t>20-24-MP</t>
  </si>
  <si>
    <t>P619</t>
  </si>
  <si>
    <t>19-24-MP</t>
  </si>
  <si>
    <t>P620</t>
  </si>
  <si>
    <t>18-24-MP</t>
  </si>
  <si>
    <t>P621</t>
  </si>
  <si>
    <t>Osvračín</t>
  </si>
  <si>
    <t>P622</t>
  </si>
  <si>
    <t>08-21-MP</t>
  </si>
  <si>
    <t>Chotiměř</t>
  </si>
  <si>
    <t>P623</t>
  </si>
  <si>
    <t>43-22-MP</t>
  </si>
  <si>
    <t>P624</t>
  </si>
  <si>
    <t>26-20-MP</t>
  </si>
  <si>
    <t>P625</t>
  </si>
  <si>
    <t>27-20-MP</t>
  </si>
  <si>
    <t>Nahošice</t>
  </si>
  <si>
    <t>P626</t>
  </si>
  <si>
    <t>50-20-MP</t>
  </si>
  <si>
    <t>P627</t>
  </si>
  <si>
    <t>51-20-MP</t>
  </si>
  <si>
    <t>Radonice "A"</t>
  </si>
  <si>
    <t>P628</t>
  </si>
  <si>
    <t>58-23-MP</t>
  </si>
  <si>
    <t>Radonice "B"</t>
  </si>
  <si>
    <t>P629</t>
  </si>
  <si>
    <t>59-23-MP</t>
  </si>
  <si>
    <t>Radonice "C"</t>
  </si>
  <si>
    <t>P630</t>
  </si>
  <si>
    <t>60-23-MP</t>
  </si>
  <si>
    <t>Radonice "D"</t>
  </si>
  <si>
    <t>P631</t>
  </si>
  <si>
    <t>Domažlice "D"</t>
  </si>
  <si>
    <t>P632</t>
  </si>
  <si>
    <t>46-21-MP</t>
  </si>
  <si>
    <t>Domažlice "A"</t>
  </si>
  <si>
    <t>P633</t>
  </si>
  <si>
    <t>61-22-MP</t>
  </si>
  <si>
    <t>Domažlice "B"</t>
  </si>
  <si>
    <t>P634</t>
  </si>
  <si>
    <t>47-21-MP</t>
  </si>
  <si>
    <t>Domažlice "E"</t>
  </si>
  <si>
    <t>P635</t>
  </si>
  <si>
    <t>04-23-MP</t>
  </si>
  <si>
    <t>Domažlice "F"</t>
  </si>
  <si>
    <t>P636</t>
  </si>
  <si>
    <t>58-21-MP</t>
  </si>
  <si>
    <t>Domažlice "G"</t>
  </si>
  <si>
    <t>P637</t>
  </si>
  <si>
    <t>59-21-MP</t>
  </si>
  <si>
    <t>Domažlice "H"</t>
  </si>
  <si>
    <t>P638</t>
  </si>
  <si>
    <t>60-21-MP</t>
  </si>
  <si>
    <t>Babylon</t>
  </si>
  <si>
    <t>P640</t>
  </si>
  <si>
    <t>26-22-MP</t>
  </si>
  <si>
    <t>P641</t>
  </si>
  <si>
    <t>27-22-MP</t>
  </si>
  <si>
    <t>P642</t>
  </si>
  <si>
    <t>33-23-MP</t>
  </si>
  <si>
    <t>P643</t>
  </si>
  <si>
    <t>34-23-MP</t>
  </si>
  <si>
    <t>P886</t>
  </si>
  <si>
    <t>40-20-MP</t>
  </si>
  <si>
    <t>Plzeň-zimní st."B"</t>
  </si>
  <si>
    <t>P885</t>
  </si>
  <si>
    <t>41-20-MP</t>
  </si>
  <si>
    <t>Plzeň-Samaritská "C"</t>
  </si>
  <si>
    <t>P884</t>
  </si>
  <si>
    <t>42-20-MP</t>
  </si>
  <si>
    <t>Plzeň-Doudlevce</t>
  </si>
  <si>
    <t>P883</t>
  </si>
  <si>
    <t>48-23-MP</t>
  </si>
  <si>
    <t>Valcha</t>
  </si>
  <si>
    <t>P882</t>
  </si>
  <si>
    <t>17-24-MP</t>
  </si>
  <si>
    <t>Dobřany-Šlovice</t>
  </si>
  <si>
    <t>P880</t>
  </si>
  <si>
    <t>P878</t>
  </si>
  <si>
    <t>Píša/FR</t>
  </si>
  <si>
    <t>1993/2005</t>
  </si>
  <si>
    <t>29-23-MP</t>
  </si>
  <si>
    <t>Dobřany E</t>
  </si>
  <si>
    <t>P877</t>
  </si>
  <si>
    <t>28-23-MP</t>
  </si>
  <si>
    <t>Chlumčany "C3"</t>
  </si>
  <si>
    <t>P876</t>
  </si>
  <si>
    <t>Habáň-Sig</t>
  </si>
  <si>
    <t>Chlumčany "C4"</t>
  </si>
  <si>
    <t>P875</t>
  </si>
  <si>
    <t>36-24-MP</t>
  </si>
  <si>
    <t>Chlumčany "D1"</t>
  </si>
  <si>
    <t>P874</t>
  </si>
  <si>
    <t>32-24-MP</t>
  </si>
  <si>
    <t>Chlumčany "D2"</t>
  </si>
  <si>
    <t>P873</t>
  </si>
  <si>
    <t>31-24-MP</t>
  </si>
  <si>
    <t>Přeštice zast. "D"</t>
  </si>
  <si>
    <t>P1872</t>
  </si>
  <si>
    <t>49-22-MP</t>
  </si>
  <si>
    <t>Přeštice "E"</t>
  </si>
  <si>
    <t>P871</t>
  </si>
  <si>
    <t>16-20-MP</t>
  </si>
  <si>
    <t>Přeštice "G"</t>
  </si>
  <si>
    <t>P870</t>
  </si>
  <si>
    <t>15-20-MP</t>
  </si>
  <si>
    <t>Přeštice "5A"</t>
  </si>
  <si>
    <t>P869</t>
  </si>
  <si>
    <t>53-24-JW</t>
  </si>
  <si>
    <t>Lužany "E2"</t>
  </si>
  <si>
    <t>P868</t>
  </si>
  <si>
    <t>37-24-MP</t>
  </si>
  <si>
    <t>Lužany "E3"</t>
  </si>
  <si>
    <t>P867</t>
  </si>
  <si>
    <t>38-24-MP</t>
  </si>
  <si>
    <t>Borovy "E4"</t>
  </si>
  <si>
    <t>P866</t>
  </si>
  <si>
    <t>39-24-MP</t>
  </si>
  <si>
    <t>Borovy "E5" + AH</t>
  </si>
  <si>
    <t>P865</t>
  </si>
  <si>
    <t>40-24-MP</t>
  </si>
  <si>
    <t>Borovy "E6"</t>
  </si>
  <si>
    <t>P864</t>
  </si>
  <si>
    <t>38-22-MP</t>
  </si>
  <si>
    <t>Červené Poříčí "E7"</t>
  </si>
  <si>
    <t>P862</t>
  </si>
  <si>
    <t>Švihov "F1"</t>
  </si>
  <si>
    <t>P860</t>
  </si>
  <si>
    <t>36-22-MP</t>
  </si>
  <si>
    <t>Švihov "F2"</t>
  </si>
  <si>
    <t>P859</t>
  </si>
  <si>
    <t>35-22-MP</t>
  </si>
  <si>
    <t>Točník "F3"</t>
  </si>
  <si>
    <t>P858</t>
  </si>
  <si>
    <t>34-22-MP</t>
  </si>
  <si>
    <t>Točník "F4"</t>
  </si>
  <si>
    <t>P855</t>
  </si>
  <si>
    <t>08-22-MP</t>
  </si>
  <si>
    <t>Točník "J" + AH</t>
  </si>
  <si>
    <t>P854</t>
  </si>
  <si>
    <t>03-22-MP</t>
  </si>
  <si>
    <t>Točník "K"</t>
  </si>
  <si>
    <t>P852</t>
  </si>
  <si>
    <t>Klatovy-Červ.Mlýn "D"</t>
  </si>
  <si>
    <t>P851</t>
  </si>
  <si>
    <t>Bart./Klimeš</t>
  </si>
  <si>
    <t>1996/2020</t>
  </si>
  <si>
    <t>Klatovy-Beňovy "E"</t>
  </si>
  <si>
    <t>P850</t>
  </si>
  <si>
    <t>Bartůněk</t>
  </si>
  <si>
    <t>07-23-MP</t>
  </si>
  <si>
    <t>Bezděkov "KJ2"</t>
  </si>
  <si>
    <t>P849</t>
  </si>
  <si>
    <t>Píša./Klimeš</t>
  </si>
  <si>
    <t>40-17-MP</t>
  </si>
  <si>
    <t>Sedláček</t>
  </si>
  <si>
    <t>Bezděkov "G"</t>
  </si>
  <si>
    <t>P848</t>
  </si>
  <si>
    <t>39-17-MP</t>
  </si>
  <si>
    <t>Bezděkov "H"</t>
  </si>
  <si>
    <t>P847</t>
  </si>
  <si>
    <t>38-17-MP</t>
  </si>
  <si>
    <t>Janovice "J"</t>
  </si>
  <si>
    <t xml:space="preserve">P846 </t>
  </si>
  <si>
    <t>37-17-MP</t>
  </si>
  <si>
    <t>Janovice "J1"</t>
  </si>
  <si>
    <t>P845</t>
  </si>
  <si>
    <t>59-20-MP</t>
  </si>
  <si>
    <t>Petrovice</t>
  </si>
  <si>
    <t>P843</t>
  </si>
  <si>
    <t>2009/2015</t>
  </si>
  <si>
    <t>28-24-MP</t>
  </si>
  <si>
    <t>P842</t>
  </si>
  <si>
    <t>29-24-MP</t>
  </si>
  <si>
    <t>P841</t>
  </si>
  <si>
    <t>30-24-MP</t>
  </si>
  <si>
    <t>P840</t>
  </si>
  <si>
    <t>61-20-MP</t>
  </si>
  <si>
    <t>Nýrsko N2</t>
  </si>
  <si>
    <t>P839</t>
  </si>
  <si>
    <t>62-20-MP</t>
  </si>
  <si>
    <t>Dešenice "A1"</t>
  </si>
  <si>
    <t>P837</t>
  </si>
  <si>
    <t>FR/Klimeš</t>
  </si>
  <si>
    <t>2003/2015</t>
  </si>
  <si>
    <t>41-23-MP</t>
  </si>
  <si>
    <t>Dešenice "A2"</t>
  </si>
  <si>
    <t>P836</t>
  </si>
  <si>
    <t>40-23-MP</t>
  </si>
  <si>
    <t>Dešenice "A3"</t>
  </si>
  <si>
    <t>P835</t>
  </si>
  <si>
    <t>39-23-MP</t>
  </si>
  <si>
    <t>P834</t>
  </si>
  <si>
    <t>P833</t>
  </si>
  <si>
    <t>Hojsova stráž "ZH3"</t>
  </si>
  <si>
    <t>P830</t>
  </si>
  <si>
    <t>Hojsova Stráž "H1"</t>
  </si>
  <si>
    <t>P829</t>
  </si>
  <si>
    <t>Brčálník "HS1"</t>
  </si>
  <si>
    <t>P828</t>
  </si>
  <si>
    <t>Železná Ruda "E2"</t>
  </si>
  <si>
    <t>P827</t>
  </si>
  <si>
    <t>Trejtnar</t>
  </si>
  <si>
    <t>36-23-MP</t>
  </si>
  <si>
    <t>P826</t>
  </si>
  <si>
    <t>37-23-MP</t>
  </si>
  <si>
    <t>Železná Ruda "E3"</t>
  </si>
  <si>
    <t>P825</t>
  </si>
  <si>
    <t>38-23-MP</t>
  </si>
  <si>
    <t>Železná Ruda "SA3"</t>
  </si>
  <si>
    <t>P824</t>
  </si>
  <si>
    <t>P890</t>
  </si>
  <si>
    <t>58-22-MP</t>
  </si>
  <si>
    <t>P891</t>
  </si>
  <si>
    <t>54-23-MP</t>
  </si>
  <si>
    <t>P892</t>
  </si>
  <si>
    <t>/Klimeš</t>
  </si>
  <si>
    <t>/2020</t>
  </si>
  <si>
    <t>55-23-MP</t>
  </si>
  <si>
    <t>P893</t>
  </si>
  <si>
    <t>44-20-MP</t>
  </si>
  <si>
    <t>P894</t>
  </si>
  <si>
    <t>62-22-MP</t>
  </si>
  <si>
    <t>P897</t>
  </si>
  <si>
    <t>Nezjištěna</t>
  </si>
  <si>
    <t>49-23-MP</t>
  </si>
  <si>
    <t>P898</t>
  </si>
  <si>
    <t>50-23-MP</t>
  </si>
  <si>
    <t>P902</t>
  </si>
  <si>
    <t>R 13/11-Kl</t>
  </si>
  <si>
    <t>28-21-MP</t>
  </si>
  <si>
    <t>P903</t>
  </si>
  <si>
    <t>P904</t>
  </si>
  <si>
    <t>Mokrosuky</t>
  </si>
  <si>
    <t>P906</t>
  </si>
  <si>
    <t>P907</t>
  </si>
  <si>
    <t>P910</t>
  </si>
  <si>
    <t>P911</t>
  </si>
  <si>
    <t>36-21-MP</t>
  </si>
  <si>
    <t>P912</t>
  </si>
  <si>
    <t>37-21-MP</t>
  </si>
  <si>
    <t>P913</t>
  </si>
  <si>
    <t>38-21-MP</t>
  </si>
  <si>
    <t>Malonice</t>
  </si>
  <si>
    <t>P916</t>
  </si>
  <si>
    <t>01-21-MP</t>
  </si>
  <si>
    <t>P918</t>
  </si>
  <si>
    <t>P919</t>
  </si>
  <si>
    <t>P920</t>
  </si>
  <si>
    <t>P921</t>
  </si>
  <si>
    <t>P922</t>
  </si>
  <si>
    <t>P923</t>
  </si>
  <si>
    <t>P926</t>
  </si>
  <si>
    <t>P927</t>
  </si>
  <si>
    <t>02-24-MP</t>
  </si>
  <si>
    <t>P928</t>
  </si>
  <si>
    <t>P929</t>
  </si>
  <si>
    <t>P930</t>
  </si>
  <si>
    <t>Běšiny(Kněžice)</t>
  </si>
  <si>
    <t>P932</t>
  </si>
  <si>
    <t>Klob./FR</t>
  </si>
  <si>
    <t>1978/2007</t>
  </si>
  <si>
    <t>24-23-MP</t>
  </si>
  <si>
    <t>Neznašovy(Běšiny)</t>
  </si>
  <si>
    <t>P933</t>
  </si>
  <si>
    <t>06-20-MP</t>
  </si>
  <si>
    <t>Vrhaveč</t>
  </si>
  <si>
    <t>P934</t>
  </si>
  <si>
    <t>36-20-MP</t>
  </si>
  <si>
    <t>P935</t>
  </si>
  <si>
    <t>35-20-MP</t>
  </si>
  <si>
    <t>Luby u Klatov</t>
  </si>
  <si>
    <t>P936</t>
  </si>
  <si>
    <t>90-21-MP</t>
  </si>
  <si>
    <t>P937</t>
  </si>
  <si>
    <t>89-21-MP</t>
  </si>
  <si>
    <t>P938</t>
  </si>
  <si>
    <t>34-20-MP</t>
  </si>
  <si>
    <t>P939</t>
  </si>
  <si>
    <t>Klatovy mlék. "A"</t>
  </si>
  <si>
    <t>P942</t>
  </si>
  <si>
    <t>Klatovy vodár."B"</t>
  </si>
  <si>
    <t>P941</t>
  </si>
  <si>
    <t>Klatovy Voříšk."C"</t>
  </si>
  <si>
    <t>Úborsko</t>
  </si>
  <si>
    <t>P806</t>
  </si>
  <si>
    <t>32-23-MP</t>
  </si>
  <si>
    <t>P808</t>
  </si>
  <si>
    <t>Chodská Lhota</t>
  </si>
  <si>
    <t>P812</t>
  </si>
  <si>
    <t>56-24-JW</t>
  </si>
  <si>
    <t>P813</t>
  </si>
  <si>
    <t>P815</t>
  </si>
  <si>
    <t>10-24-MP</t>
  </si>
  <si>
    <t>Prapořiště (Kdyně)</t>
  </si>
  <si>
    <t>P816</t>
  </si>
  <si>
    <t>Starec (Kdyně)</t>
  </si>
  <si>
    <t>P817</t>
  </si>
  <si>
    <t>95-21-MP</t>
  </si>
  <si>
    <t>Kout na Šumavě</t>
  </si>
  <si>
    <t>P818</t>
  </si>
  <si>
    <t>09-20-MP</t>
  </si>
  <si>
    <t>Domažlice "C"</t>
  </si>
  <si>
    <t>P823</t>
  </si>
  <si>
    <t>48-21-MP</t>
  </si>
  <si>
    <t>Horšovský Týn</t>
  </si>
  <si>
    <t>717C_Staň.-Pob.</t>
  </si>
  <si>
    <t>P675</t>
  </si>
  <si>
    <t>44-22-MP</t>
  </si>
  <si>
    <t>Horšovský Týn"Sv.Anna"</t>
  </si>
  <si>
    <t>P678</t>
  </si>
  <si>
    <t>43-23-MP</t>
  </si>
  <si>
    <t>Heřmanova Huť</t>
  </si>
  <si>
    <t>712B_Nýř.-H.Huť</t>
  </si>
  <si>
    <t>P659</t>
  </si>
  <si>
    <t>30-23-MP</t>
  </si>
  <si>
    <t>Havlovice(+Pasečnice)</t>
  </si>
  <si>
    <t>717A_Dom.-Planá</t>
  </si>
  <si>
    <t>P687</t>
  </si>
  <si>
    <t>Trhanov</t>
  </si>
  <si>
    <t>P691</t>
  </si>
  <si>
    <t>Klenčí p. Čerch.</t>
  </si>
  <si>
    <t>P695</t>
  </si>
  <si>
    <t>11-24-MP</t>
  </si>
  <si>
    <t>Nový Kramolín</t>
  </si>
  <si>
    <t>P701</t>
  </si>
  <si>
    <t>83/2021-R</t>
  </si>
  <si>
    <t>Poběžovice</t>
  </si>
  <si>
    <t>P706</t>
  </si>
  <si>
    <t>P705</t>
  </si>
  <si>
    <t>Hostouň</t>
  </si>
  <si>
    <t>Svržno</t>
  </si>
  <si>
    <t>P715</t>
  </si>
  <si>
    <t>92-21-MP</t>
  </si>
  <si>
    <t>Újezd Sv.Kříže</t>
  </si>
  <si>
    <t>P717</t>
  </si>
  <si>
    <t>93-21-MP</t>
  </si>
  <si>
    <t>Bělá n. Radbuzou</t>
  </si>
  <si>
    <t>P722</t>
  </si>
  <si>
    <t>Třemešné</t>
  </si>
  <si>
    <t>P730</t>
  </si>
  <si>
    <t>61-21-MP</t>
  </si>
  <si>
    <t>Svoboda</t>
  </si>
  <si>
    <t>Bor zast.</t>
  </si>
  <si>
    <t>P747</t>
  </si>
  <si>
    <t>62-21-MP</t>
  </si>
  <si>
    <t>Bor u Tachova</t>
  </si>
  <si>
    <t>P751</t>
  </si>
  <si>
    <t>Tachov  zast.</t>
  </si>
  <si>
    <t>P771</t>
  </si>
  <si>
    <t>Tachov</t>
  </si>
  <si>
    <t>P785</t>
  </si>
  <si>
    <t>17-21-MP</t>
  </si>
  <si>
    <t>P777</t>
  </si>
  <si>
    <t>Lom u Tachova</t>
  </si>
  <si>
    <t>P778</t>
  </si>
  <si>
    <t>P779</t>
  </si>
  <si>
    <t>P780</t>
  </si>
  <si>
    <t>P781</t>
  </si>
  <si>
    <t>Tachov - Biletín</t>
  </si>
  <si>
    <t>P783</t>
  </si>
  <si>
    <t>P784</t>
  </si>
  <si>
    <t>Holostřevy</t>
  </si>
  <si>
    <t>717B_Svojšín-Bor</t>
  </si>
  <si>
    <t>P792</t>
  </si>
  <si>
    <t>55-22-MP</t>
  </si>
  <si>
    <t>Skviřín</t>
  </si>
  <si>
    <t>P799</t>
  </si>
  <si>
    <t>56-22-MP</t>
  </si>
  <si>
    <t>Cebiv</t>
  </si>
  <si>
    <t>714C_Pň.-Bezd.</t>
  </si>
  <si>
    <t>P429</t>
  </si>
  <si>
    <t>15-21-MP</t>
  </si>
  <si>
    <t>Kokašice</t>
  </si>
  <si>
    <t>P439</t>
  </si>
  <si>
    <t>16-21-MP</t>
  </si>
  <si>
    <t>Kozolupy-Plešnice K1</t>
  </si>
  <si>
    <t>P287</t>
  </si>
  <si>
    <t>33-22-MP</t>
  </si>
  <si>
    <t>Plešnice PK1</t>
  </si>
  <si>
    <t>P288</t>
  </si>
  <si>
    <t>09-23-MP</t>
  </si>
  <si>
    <t>Plešnice-Pňovany PK2</t>
  </si>
  <si>
    <t>P289</t>
  </si>
  <si>
    <t>10-23-MP</t>
  </si>
  <si>
    <t>P290</t>
  </si>
  <si>
    <t>17-23-MP</t>
  </si>
  <si>
    <t>Stříbro-Milíkov</t>
  </si>
  <si>
    <t>P291</t>
  </si>
  <si>
    <t>13-23-MP</t>
  </si>
  <si>
    <t>P295</t>
  </si>
  <si>
    <t>14-21-MP</t>
  </si>
  <si>
    <t>Brod n.Tichou B1</t>
  </si>
  <si>
    <t>P296</t>
  </si>
  <si>
    <t>47-24-JW</t>
  </si>
  <si>
    <t>Planá-Ch.Planá PC1</t>
  </si>
  <si>
    <t>P298</t>
  </si>
  <si>
    <t>Chodová Planá C1</t>
  </si>
  <si>
    <t>P299</t>
  </si>
  <si>
    <t>Ch.Planá-M.Lázně</t>
  </si>
  <si>
    <t>P300</t>
  </si>
  <si>
    <t>patří KV</t>
  </si>
  <si>
    <t>Plzeň-křížení PL3</t>
  </si>
  <si>
    <t>101-21-MP</t>
  </si>
  <si>
    <t>Plzeň-křížení PL4</t>
  </si>
  <si>
    <t>102-21-MP</t>
  </si>
  <si>
    <t>Sušice (dříve St.2) PZM</t>
  </si>
  <si>
    <t>P899</t>
  </si>
  <si>
    <t>63-22-MP</t>
  </si>
  <si>
    <t>Z, P</t>
  </si>
  <si>
    <t>Nepomuk St.2</t>
  </si>
  <si>
    <t>P1183</t>
  </si>
  <si>
    <t>16-22-MP</t>
  </si>
  <si>
    <t>Nepomuk St.1</t>
  </si>
  <si>
    <t>P1182</t>
  </si>
  <si>
    <t>17-22-MP</t>
  </si>
  <si>
    <t>61-23-MP</t>
  </si>
  <si>
    <t>Horaž. m. St.2</t>
  </si>
  <si>
    <t>P887</t>
  </si>
  <si>
    <t>57-22-MP</t>
  </si>
  <si>
    <t>08-20-MP</t>
  </si>
  <si>
    <t>64-21-MP</t>
  </si>
  <si>
    <t>P755</t>
  </si>
  <si>
    <t>46-23-MP</t>
  </si>
  <si>
    <t>Prusík/FR</t>
  </si>
  <si>
    <t>1996/2011</t>
  </si>
  <si>
    <t>27-23-MP</t>
  </si>
  <si>
    <t>43-24-JW</t>
  </si>
  <si>
    <t>42-23-MP</t>
  </si>
  <si>
    <t>Stupno-samovraty</t>
  </si>
  <si>
    <t>K</t>
  </si>
  <si>
    <t>14-24-MP</t>
  </si>
  <si>
    <t>67-21-MP</t>
  </si>
  <si>
    <t>32-22-MP</t>
  </si>
  <si>
    <t>46-22-MP</t>
  </si>
  <si>
    <t>19-23-MP</t>
  </si>
  <si>
    <t>11-20-MP</t>
  </si>
  <si>
    <t>02-23-MP</t>
  </si>
  <si>
    <t>13-21-MP</t>
  </si>
  <si>
    <t>42-22-MP</t>
  </si>
  <si>
    <t>46-24-JW</t>
  </si>
  <si>
    <t>50-24-JW</t>
  </si>
  <si>
    <t>66-24-JW</t>
  </si>
  <si>
    <t>73-19-MP</t>
  </si>
  <si>
    <t>55-24-JW</t>
  </si>
  <si>
    <t>Janovice n.Úhlavou</t>
  </si>
  <si>
    <t>Schwarz</t>
  </si>
  <si>
    <t>2015?</t>
  </si>
  <si>
    <t>51-21-MP</t>
  </si>
  <si>
    <t>54-22-MP</t>
  </si>
  <si>
    <t>87-21-MP</t>
  </si>
  <si>
    <t>88-21-MP</t>
  </si>
  <si>
    <t>143/2015/Ja</t>
  </si>
  <si>
    <t>11-21-MP</t>
  </si>
  <si>
    <t>Plzeň kontejner K1</t>
  </si>
  <si>
    <t>99-21-MP</t>
  </si>
  <si>
    <t>Plzeň kontejner K2</t>
  </si>
  <si>
    <t>97-21-MP</t>
  </si>
  <si>
    <t>FAdC-Chlum</t>
  </si>
  <si>
    <t>FAdC-Homolka</t>
  </si>
  <si>
    <t>Blahousty</t>
  </si>
  <si>
    <t>P419</t>
  </si>
  <si>
    <t>VRZ 2024</t>
  </si>
  <si>
    <t>Dubec</t>
  </si>
  <si>
    <t>P733</t>
  </si>
  <si>
    <t>P734</t>
  </si>
  <si>
    <t>Pernolec</t>
  </si>
  <si>
    <t>P766</t>
  </si>
  <si>
    <t>P732</t>
  </si>
  <si>
    <t>Blovice "B"</t>
  </si>
  <si>
    <t>P1189</t>
  </si>
  <si>
    <t>15-23-MP</t>
  </si>
  <si>
    <t>č.PZS</t>
  </si>
  <si>
    <t>\\OR00000PLZNT011\SSZT_PLZ-Interní\DOKLADY_K_ZAŘÍZENÍ\Protokoly_k_zařízení\719_Plzeň-Žatec\žst.Třemošná</t>
  </si>
  <si>
    <t>\\OR00000PLZNT011\SSZT_PLZ-Interní\DOKLADY_K_ZAŘÍZENÍ\Protokoly_k_zařízení\719_Plzeň-Žatec\žst.Horní Bříza</t>
  </si>
  <si>
    <t>\\OR00000PLZNT011\SSZT_PLZ-Interní\DOKLADY_K_ZAŘÍZENÍ\Protokoly_k_zařízení\719_Plzeň-Žatec\žst.Kaznějov</t>
  </si>
  <si>
    <t>\\OR00000PLZNT011\SSZT_PLZ-Interní\DOKLADY_K_ZAŘÍZENÍ\Protokoly_k_zařízení\719_Plzeň-Žatec\žst.Plasy</t>
  </si>
  <si>
    <t>\\OR00000PLZNT011\SSZT_PLZ-Interní\DOKLADY_K_ZAŘÍZENÍ\Protokoly_k_zařízení\719_Plzeň-Žatec\žst.Mladotice</t>
  </si>
  <si>
    <t>\\OR00000PLZNT011\SSZT_PLZ-Interní\DOKLADY_K_ZAŘÍZENÍ\Protokoly_k_zařízení\719_Plzeň-Žatec\žst.Žihle</t>
  </si>
  <si>
    <t>\\OR00000PLZNT011\SSZT_PLZ-Interní\DOKLADY_K_ZAŘÍZENÍ\Protokoly_k_zařízení\713A_Plzeň-Zbiroh\žst. Ejpovice</t>
  </si>
  <si>
    <t>\\OR00000PLZNT011\SSZT_PLZ-Interní\DOKLADY_K_ZAŘÍZENÍ\Protokoly_k_zařízení\713A_Plzeň-Zbiroh\žst. Rokycany</t>
  </si>
  <si>
    <t>\\OR00000PLZNT011\SSZT_PLZ-Interní\DOKLADY_K_ZAŘÍZENÍ\Protokoly_k_zařízení\713A_Plzeň-Zbiroh\žst. Holoubkov</t>
  </si>
  <si>
    <t>\\OR00000PLZNT011\SSZT_PLZ-Interní\DOKLADY_K_ZAŘÍZENÍ\Protokoly_k_zařízení\713A_Plzeň-Zbiroh\žst. Kařízek</t>
  </si>
  <si>
    <t>\\OR00000PLZNT011\SSZT_PLZ-Interní\DOKLADY_K_ZAŘÍZENÍ\Protokoly_k_zařízení\713A_Plzeň-Zbiroh\nákl. Zbiroh</t>
  </si>
  <si>
    <t>\\OR00000PLZNT011\SSZT_PLZ-Interní\DOKLADY_K_ZAŘÍZENÍ\Protokoly_k_zařízení\712A_Vejprnice-Č.Kubice\žst. Vejprnice</t>
  </si>
  <si>
    <t>\\OR00000PLZNT011\SSZT_PLZ-Interní\DOKLADY_K_ZAŘÍZENÍ\Protokoly_k_zařízení\712A_Vejprnice-Č.Kubice\žst. Nýřany</t>
  </si>
  <si>
    <t>\\OR00000PLZNT011\SSZT_PLZ-Interní\DOKLADY_K_ZAŘÍZENÍ\Protokoly_k_zařízení\712A_Vejprnice-Č.Kubice\výh. Chotěšov</t>
  </si>
  <si>
    <t>\\OR00000PLZNT011\SSZT_PLZ-Interní\DOKLADY_K_ZAŘÍZENÍ\Protokoly_k_zařízení\712A_Vejprnice-Č.Kubice\žst. Stod</t>
  </si>
  <si>
    <t>\\OR00000PLZNT011\SSZT_PLZ-Interní\DOKLADY_K_ZAŘÍZENÍ\Protokoly_k_zařízení\712A_Vejprnice-Č.Kubice\žst. Holýšov</t>
  </si>
  <si>
    <t>\\OR00000PLZNT011\SSZT_PLZ-Interní\DOKLADY_K_ZAŘÍZENÍ\Protokoly_k_zařízení\712A_Vejprnice-Č.Kubice\žst. Staňkov</t>
  </si>
  <si>
    <t>\\OR00000PLZNT011\SSZT_PLZ-Interní\DOKLADY_K_ZAŘÍZENÍ\Protokoly_k_zařízení\712A_Vejprnice-Č.Kubice\žst. Blížejov</t>
  </si>
  <si>
    <t>\\OR00000PLZNT011\SSZT_PLZ-Interní\DOKLADY_K_ZAŘÍZENÍ\Protokoly_k_zařízení\712A_Vejprnice-Č.Kubice\výh. Radonice</t>
  </si>
  <si>
    <t>\\OR00000PLZNT011\SSZT_PLZ-Interní\DOKLADY_K_ZAŘÍZENÍ\Protokoly_k_zařízení\712A_Vejprnice-Č.Kubice\žst. Domažlice</t>
  </si>
  <si>
    <t>\\OR00000PLZNT011\SSZT_PLZ-Interní\DOKLADY_K_ZAŘÍZENÍ\Protokoly_k_zařízení\712A_Vejprnice-Č.Kubice\žst. Č.Kubice</t>
  </si>
  <si>
    <t>\\OR00000PLZNT011\SSZT_PLZ-Interní\DOKLADY_K_ZAŘÍZENÍ\Protokoly_k_zařízení\710B_Klatovy-Domažlice\žst. Pocinovice</t>
  </si>
  <si>
    <t>\\OR00000PLZNT011\SSZT_PLZ-Interní\DOKLADY_K_ZAŘÍZENÍ\Protokoly_k_zařízení\711_Plzeň-Ž.Ruda\žst. Plzeň Valcha</t>
  </si>
  <si>
    <t>\\OR00000PLZNT011\SSZT_PLZ-Interní\DOKLADY_K_ZAŘÍZENÍ\Protokoly_k_zařízení\711_Plzeň-Ž.Ruda\žst. Dobřany</t>
  </si>
  <si>
    <t>\\OR00000PLZNT011\SSZT_PLZ-Interní\DOKLADY_K_ZAŘÍZENÍ\Protokoly_k_zařízení\711_Plzeň-Ž.Ruda\žst. Chlumčany</t>
  </si>
  <si>
    <t>\\OR00000PLZNT011\SSZT_PLZ-Interní\DOKLADY_K_ZAŘÍZENÍ\Protokoly_k_zařízení\711_Plzeň-Ž.Ruda\žst. Přeštice</t>
  </si>
  <si>
    <t>\\OR00000PLZNT011\SSZT_PLZ-Interní\DOKLADY_K_ZAŘÍZENÍ\Protokoly_k_zařízení\711_Plzeň-Ž.Ruda\žst. Švihov</t>
  </si>
  <si>
    <t>\\OR00000PLZNT011\SSZT_PLZ-Interní\DOKLADY_K_ZAŘÍZENÍ\Protokoly_k_zařízení\711_Plzeň-Ž.Ruda\žst. Klatovy</t>
  </si>
  <si>
    <t>\\OR00000PLZNT011\SSZT_PLZ-Interní\DOKLADY_K_ZAŘÍZENÍ\Protokoly_k_zařízení\711_Plzeň-Ž.Ruda\žst. Janovice nad Úhlavou</t>
  </si>
  <si>
    <t>\\OR00000PLZNT011\SSZT_PLZ-Interní\DOKLADY_K_ZAŘÍZENÍ\Protokoly_k_zařízení\711_Plzeň-Ž.Ruda\žst. Nýrsko</t>
  </si>
  <si>
    <t>\\OR00000PLZNT011\SSZT_PLZ-Interní\DOKLADY_K_ZAŘÍZENÍ\Protokoly_k_zařízení\711_Plzeň-Ž.Ruda\žst. Zelená Lhota</t>
  </si>
  <si>
    <t>\\OR00000PLZNT011\SSZT_PLZ-Interní\DOKLADY_K_ZAŘÍZENÍ\Protokoly_k_zařízení\711_Plzeň-Ž.Ruda\žst. Hamry Hojsova Stráž</t>
  </si>
  <si>
    <t>\\OR00000PLZNT011\SSZT_PLZ-Interní\DOKLADY_K_ZAŘÍZENÍ\Protokoly_k_zařízení\711_Plzeň-Ž.Ruda\žst. Špičák</t>
  </si>
  <si>
    <t>\\OR00000PLZNT011\SSZT_PLZ-Interní\DOKLADY_K_ZAŘÍZENÍ\Protokoly_k_zařízení\710A_Horažďovice-Klatovy\žst. V. Hydčice</t>
  </si>
  <si>
    <t>\\OR00000PLZNT011\SSZT_PLZ-Interní\DOKLADY_K_ZAŘÍZENÍ\Protokoly_k_zařízení\710A_Horažďovice-Klatovy\žst. Žichovice</t>
  </si>
  <si>
    <t>\\OR00000PLZNT011\SSZT_PLZ-Interní\DOKLADY_K_ZAŘÍZENÍ\Protokoly_k_zařízení\710A_Horažďovice-Klatovy\žst. Sušice</t>
  </si>
  <si>
    <t>\\OR00000PLZNT011\SSZT_PLZ-Interní\DOKLADY_K_ZAŘÍZENÍ\Protokoly_k_zařízení\710A_Horažďovice-Klatovy\žst. Hrádek u Sušice</t>
  </si>
  <si>
    <t>\\OR00000PLZNT011\SSZT_PLZ-Interní\DOKLADY_K_ZAŘÍZENÍ\Protokoly_k_zařízení\710A_Horažďovice-Klatovy\žst. Kolinec</t>
  </si>
  <si>
    <t>\\OR00000PLZNT011\SSZT_PLZ-Interní\DOKLADY_K_ZAŘÍZENÍ\Protokoly_k_zařízení\710A_Horažďovice-Klatovy\žst. Nemilkov</t>
  </si>
  <si>
    <t>\\OR00000PLZNT011\SSZT_PLZ-Interní\DOKLADY_K_ZAŘÍZENÍ\Protokoly_k_zařízení\710A_Horažďovice-Klatovy\žst. Běšiny</t>
  </si>
  <si>
    <t>\\OR00000PLZNT011\SSZT_PLZ-Interní\DOKLADY_K_ZAŘÍZENÍ\Protokoly_k_zařízení\720_Plzeň-Cheb\žst. Křimice</t>
  </si>
  <si>
    <t>\\OR00000PLZNT011\SSZT_PLZ-Interní\DOKLADY_K_ZAŘÍZENÍ\Protokoly_k_zařízení\720_Plzeň-Cheb\žst. Kozolupy</t>
  </si>
  <si>
    <t>\\OR00000PLZNT011\SSZT_PLZ-Interní\DOKLADY_K_ZAŘÍZENÍ\Protokoly_k_zařízení\720_Plzeň-Cheb\žst. Pňovany</t>
  </si>
  <si>
    <t>\\OR00000PLZNT011\SSZT_PLZ-Interní\DOKLADY_K_ZAŘÍZENÍ\Protokoly_k_zařízení\720_Plzeň-Cheb\žst. Vranov u Stříbra</t>
  </si>
  <si>
    <t>\\OR00000PLZNT011\SSZT_PLZ-Interní\DOKLADY_K_ZAŘÍZENÍ\Protokoly_k_zařízení\720_Plzeň-Cheb\žst. Stříbro</t>
  </si>
  <si>
    <t>\\OR00000PLZNT011\SSZT_PLZ-Interní\DOKLADY_K_ZAŘÍZENÍ\Protokoly_k_zařízení\720_Plzeň-Cheb\žst. Milíkov</t>
  </si>
  <si>
    <t>\\OR00000PLZNT011\SSZT_PLZ-Interní\DOKLADY_K_ZAŘÍZENÍ\Protokoly_k_zařízení\720_Plzeň-Cheb\žst. Svojšín</t>
  </si>
  <si>
    <t>\\OR00000PLZNT011\SSZT_PLZ-Interní\DOKLADY_K_ZAŘÍZENÍ\Protokoly_k_zařízení\720_Plzeň-Cheb\žst. Ošelín</t>
  </si>
  <si>
    <t>\\OR00000PLZNT011\SSZT_PLZ-Interní\DOKLADY_K_ZAŘÍZENÍ\Protokoly_k_zařízení\720_Plzeň-Cheb\žst. Pavlovice</t>
  </si>
  <si>
    <t>\\OR00000PLZNT011\SSZT_PLZ-Interní\DOKLADY_K_ZAŘÍZENÍ\Protokoly_k_zařízení\720_Plzeň-Cheb\žst. Brod nad Tichou</t>
  </si>
  <si>
    <t>\\OR00000PLZNT011\SSZT_PLZ-Interní\DOKLADY_K_ZAŘÍZENÍ\Protokoly_k_zařízení\720_Plzeň-Cheb\žst. Planá u Mar. Lázní</t>
  </si>
  <si>
    <t>\\OR00000PLZNT011\SSZT_PLZ-Interní\DOKLADY_K_ZAŘÍZENÍ\Protokoly_k_zařízení\720_Plzeň-Cheb\žst. Chodová Planá</t>
  </si>
  <si>
    <t>\\OR00000PLZNT011\SSZT_PLZ-Interní\DOKLADY_K_ZAŘÍZENÍ\Protokoly_k_zařízení\714A_Rokycany-Nezvěstice\Kamenný Újezd</t>
  </si>
  <si>
    <t>\\OR00000PLZNT011\SSZT_PLZ-Interní\DOKLADY_K_ZAŘÍZENÍ\Protokoly_k_zařízení\714A_Rokycany-Nezvěstice\Žst. Mirošov</t>
  </si>
  <si>
    <t>\\OR00000PLZNT011\SSZT_PLZ-Interní\DOKLADY_K_ZAŘÍZENÍ\Protokoly_k_zařízení\714A_Rokycany-Nezvěstice\Žst. Příkosice</t>
  </si>
  <si>
    <t>\\OR00000PLZNT011\SSZT_PLZ-Interní\DOKLADY_K_ZAŘÍZENÍ\Protokoly_k_zařízení\713A_Plzeň-Zbiroh\TZZ Ejpovice-Plzeň</t>
  </si>
  <si>
    <t>\\OR00000PLZNT011\SSZT_PLZ-Interní\DOKLADY_K_ZAŘÍZENÍ\Protokoly_k_zařízení\713A_Plzeň-Zbiroh\TZZ Holoubkov-Rokycany</t>
  </si>
  <si>
    <t>\\OR00000PLZNT011\SSZT_PLZ-Interní\DOKLADY_K_ZAŘÍZENÍ\Protokoly_k_zařízení\713A_Plzeň-Zbiroh\TZZ Zbiroh-Kařízek</t>
  </si>
  <si>
    <t>\\OR00000PLZNT011\SSZT_PLZ-Interní\DOKLADY_K_ZAŘÍZENÍ\Protokoly_k_zařízení\713A_Plzeň-Zbiroh\TZZ Zbiroh-Hořovice</t>
  </si>
  <si>
    <t>\\OR00000PLZNT011\SSZT_PLZ-Interní\DOKLADY_K_ZAŘÍZENÍ\Protokoly_k_zařízení\712A_Vejprnice-Č.Kubice\TZZ Vejprnice-Nýřany</t>
  </si>
  <si>
    <t>\\OR00000PLZNT011\SSZT_PLZ-Interní\DOKLADY_K_ZAŘÍZENÍ\Protokoly_k_zařízení\712A_Vejprnice-Č.Kubice\TZZ Nýřany-Chotěšov</t>
  </si>
  <si>
    <t>\\OR00000PLZNT011\SSZT_PLZ-Interní\DOKLADY_K_ZAŘÍZENÍ\Protokoly_k_zařízení\712A_Vejprnice-Č.Kubice\TZZ Chotěšov-Stod</t>
  </si>
  <si>
    <t>\\OR00000PLZNT011\SSZT_PLZ-Interní\DOKLADY_K_ZAŘÍZENÍ\Protokoly_k_zařízení\720_Plzeň-Cheb\TZZ Plzeň_Jižní_př.-Křimice</t>
  </si>
  <si>
    <t>\\OR00000PLZNT011\SSZT_PLZ-Interní\DOKLADY_K_ZAŘÍZENÍ\Protokoly_k_zařízení\720_Plzeň-Cheb\TZZ Křimice-Kozolupy</t>
  </si>
  <si>
    <t>\\OR00000PLZNT011\SSZT_PLZ-Interní\DOKLADY_K_ZAŘÍZENÍ\Protokoly_k_zařízení\720_Plzeň-Cheb\TZZ Kozolupy-Pňovany</t>
  </si>
  <si>
    <t>\\OR00000PLZNT011\SSZT_PLZ-Interní\DOKLADY_K_ZAŘÍZENÍ\Protokoly_k_zařízení\720_Plzeň-Cheb\TZZ Pňovany-Vranov</t>
  </si>
  <si>
    <t>\\OR00000PLZNT011\SSZT_PLZ-Interní\DOKLADY_K_ZAŘÍZENÍ\Protokoly_k_zařízení\720_Plzeň-Cheb\TZZ Vranov-Stříbro</t>
  </si>
  <si>
    <t>\\OR00000PLZNT011\SSZT_PLZ-Interní\DOKLADY_K_ZAŘÍZENÍ\Protokoly_k_zařízení\720_Plzeň-Cheb\TZZ Stříbro-Milíkov</t>
  </si>
  <si>
    <t>\\OR00000PLZNT011\SSZT_PLZ-Interní\DOKLADY_K_ZAŘÍZENÍ\Protokoly_k_zařízení\720_Plzeň-Cheb\TZZ Milíkov-Svojšín</t>
  </si>
  <si>
    <t>\\OR00000PLZNT011\SSZT_PLZ-Interní\DOKLADY_K_ZAŘÍZENÍ\Protokoly_k_zařízení\720_Plzeň-Cheb\TZZ Svojšín-Ošelín</t>
  </si>
  <si>
    <t>\\OR00000PLZNT011\SSZT_PLZ-Interní\DOKLADY_K_ZAŘÍZENÍ\Protokoly_k_zařízení\720_Plzeň-Cheb\TZZ Ošelín-Pavlovice</t>
  </si>
  <si>
    <t>\\OR00000PLZNT011\SSZT_PLZ-Interní\DOKLADY_K_ZAŘÍZENÍ\Protokoly_k_zařízení\720_Plzeň-Cheb\TZZ Pavlovice-Brod</t>
  </si>
  <si>
    <t>\\OR00000PLZNT011\SSZT_PLZ-Interní\DOKLADY_K_ZAŘÍZENÍ\Protokoly_k_zařízení\720_Plzeň-Cheb\TZZ Brod-Planá</t>
  </si>
  <si>
    <t>\\OR00000PLZNT011\SSZT_PLZ-Interní\DOKLADY_K_ZAŘÍZENÍ\Protokoly_k_zařízení\720_Plzeň-Cheb\TZZ Planá-Chodová Planá</t>
  </si>
  <si>
    <t>\\OR00000PLZNT011\SSZT_PLZ-Interní\DOKLADY_K_ZAŘÍZENÍ\Protokoly_k_zařízení\720_Plzeň-Cheb\TZZ Chodová Planá-Mariánské Lázně</t>
  </si>
  <si>
    <t>\\OR00000PLZNT011\SSZT_PLZ-Interní\DOKLADY_K_ZAŘÍZENÍ\Protokoly_k_zařízení\710B_Klatovy-Domažlice\TZZ Kdyně-Domažlice</t>
  </si>
  <si>
    <t>\\OR00000PLZNT011\SSZT_PLZ-Interní\DOKLADY_K_ZAŘÍZENÍ\Protokoly_k_zařízení\Uzel_Plzeň\PZS km 348,398-PL2</t>
  </si>
  <si>
    <t>\\OR00000PLZNT011\SSZT_PLZ-Interní\DOKLADY_K_ZAŘÍZENÍ\Protokoly_k_zařízení\709B_Horažďovice_př.-Plzeň\PZS km 336,111</t>
  </si>
  <si>
    <t>\\OR00000PLZNT011\SSZT_PLZ-Interní\DOKLADY_K_ZAŘÍZENÍ\Protokoly_k_zařízení\709B_Horažďovice_př.-Plzeň\PZS km 334,234</t>
  </si>
  <si>
    <t>\\OR00000PLZNT011\SSZT_PLZ-Interní\DOKLADY_K_ZAŘÍZENÍ\Protokoly_k_zařízení\709B_Horažďovice_př.-Plzeň\PZS km 331,469</t>
  </si>
  <si>
    <t>\\OR00000PLZNT011\SSZT_PLZ-Interní\DOKLADY_K_ZAŘÍZENÍ\Protokoly_k_zařízení\709B_Horažďovice_př.-Plzeň\PZS km 331,019</t>
  </si>
  <si>
    <t>\\OR00000PLZNT011\SSZT_PLZ-Interní\DOKLADY_K_ZAŘÍZENÍ\Protokoly_k_zařízení\709B_Horažďovice_př.-Plzeň\PZS km 330,454</t>
  </si>
  <si>
    <t>\\OR00000PLZNT011\SSZT_PLZ-Interní\DOKLADY_K_ZAŘÍZENÍ\Protokoly_k_zařízení\709B_Horažďovice_př.-Plzeň\PZS km 328,577</t>
  </si>
  <si>
    <t>\\OR00000PLZNT011\SSZT_PLZ-Interní\DOKLADY_K_ZAŘÍZENÍ\Protokoly_k_zařízení\709B_Horažďovice_př.-Plzeň\PZS km 327,560</t>
  </si>
  <si>
    <t>\\OR00000PLZNT011\SSZT_PLZ-Interní\DOKLADY_K_ZAŘÍZENÍ\Protokoly_k_zařízení\709B_Horažďovice_př.-Plzeň\PZS km 325,043</t>
  </si>
  <si>
    <t>\\OR00000PLZNT011\SSZT_PLZ-Interní\DOKLADY_K_ZAŘÍZENÍ\Protokoly_k_zařízení\709B_Horažďovice_př.-Plzeň\PZS km 324,205</t>
  </si>
  <si>
    <t>\\OR00000PLZNT011\SSZT_PLZ-Interní\DOKLADY_K_ZAŘÍZENÍ\Protokoly_k_zařízení\709B_Horažďovice_př.-Plzeň\PZS km 322,522</t>
  </si>
  <si>
    <t>\\OR00000PLZNT011\SSZT_PLZ-Interní\DOKLADY_K_ZAŘÍZENÍ\Protokoly_k_zařízení\709B_Horažďovice_př.-Plzeň\PZS km 319,916</t>
  </si>
  <si>
    <t>\\OR00000PLZNT011\SSZT_PLZ-Interní\DOKLADY_K_ZAŘÍZENÍ\Protokoly_k_zařízení\709B_Horažďovice_př.-Plzeň\PZS km 317,763</t>
  </si>
  <si>
    <t>\\OR00000PLZNT011\SSZT_PLZ-Interní\DOKLADY_K_ZAŘÍZENÍ\Protokoly_k_zařízení\709B_Horažďovice_př.-Plzeň\PZS km 317,232</t>
  </si>
  <si>
    <t>\\OR00000PLZNT011\SSZT_PLZ-Interní\DOKLADY_K_ZAŘÍZENÍ\Protokoly_k_zařízení\709B_Horažďovice_př.-Plzeň\PZS km 306,247</t>
  </si>
  <si>
    <t>\\OR00000PLZNT011\SSZT_PLZ-Interní\DOKLADY_K_ZAŘÍZENÍ\Protokoly_k_zařízení\709B_Horažďovice_př.-Plzeň\PZS km 304,770</t>
  </si>
  <si>
    <t>\\OR00000PLZNT011\SSZT_PLZ-Interní\DOKLADY_K_ZAŘÍZENÍ\Protokoly_k_zařízení\709B_Horažďovice_př.-Plzeň\PZS km 304,121</t>
  </si>
  <si>
    <t>\\OR00000PLZNT011\SSZT_PLZ-Interní\DOKLADY_K_ZAŘÍZENÍ\Protokoly_k_zařízení\709B_Horažďovice_př.-Plzeň\PZS km 293,204</t>
  </si>
  <si>
    <t>\\OR00000PLZNT011\SSZT_PLZ-Interní\DOKLADY_K_ZAŘÍZENÍ\Protokoly_k_zařízení\714A_Rokycany-Nezvěstice\Rokycany-Mirošov\PZS_km_1,810</t>
  </si>
  <si>
    <t>\\OR00000PLZNT011\SSZT_PLZ-Interní\DOKLADY_K_ZAŘÍZENÍ\Protokoly_k_zařízení\714A_Rokycany-Nezvěstice\Rokycany-Mirošov\PZS_km_2,332</t>
  </si>
  <si>
    <t>\\OR00000PLZNT011\SSZT_PLZ-Interní\DOKLADY_K_ZAŘÍZENÍ\Protokoly_k_zařízení\714A_Rokycany-Nezvěstice\Rokycany-Mirošov\PZS_km_2,656</t>
  </si>
  <si>
    <t>\\OR00000PLZNT011\SSZT_PLZ-Interní\DOKLADY_K_ZAŘÍZENÍ\Protokoly_k_zařízení\714A_Rokycany-Nezvěstice\Rokycany-Mirošov\PZS_km_3,097</t>
  </si>
  <si>
    <t>\\OR00000PLZNT011\SSZT_PLZ-Interní\DOKLADY_K_ZAŘÍZENÍ\Protokoly_k_zařízení\714A_Rokycany-Nezvěstice\Rokycany-Mirošov\PZS_km_3,892</t>
  </si>
  <si>
    <t>\\OR00000PLZNT011\SSZT_PLZ-Interní\DOKLADY_K_ZAŘÍZENÍ\Protokoly_k_zařízení\714A_Rokycany-Nezvěstice\Rokycany-Mirošov\PZS_km_4,731</t>
  </si>
  <si>
    <t>\\OR00000PLZNT011\SSZT_PLZ-Interní\DOKLADY_K_ZAŘÍZENÍ\Protokoly_k_zařízení\714A_Rokycany-Nezvěstice\Rokycany-Mirošov\PZS_km_5,004</t>
  </si>
  <si>
    <t>\\OR00000PLZNT011\SSZT_PLZ-Interní\DOKLADY_K_ZAŘÍZENÍ\Protokoly_k_zařízení\714A_Rokycany-Nezvěstice\Rokycany-Mirošov\PZS_km_5,172</t>
  </si>
  <si>
    <t>\\OR00000PLZNT011\SSZT_PLZ-Interní\DOKLADY_K_ZAŘÍZENÍ\Protokoly_k_zařízení\714A_Rokycany-Nezvěstice\Mirošov-Příkosice\PZS_km_8,583</t>
  </si>
  <si>
    <t>\\OR00000PLZNT011\SSZT_PLZ-Interní\DOKLADY_K_ZAŘÍZENÍ\Protokoly_k_zařízení\714A_Rokycany-Nezvěstice\Mirošov-Příkosice\PZS_km_9,355</t>
  </si>
  <si>
    <t>\\OR00000PLZNT011\SSZT_PLZ-Interní\DOKLADY_K_ZAŘÍZENÍ\Protokoly_k_zařízení\714A_Rokycany-Nezvěstice\Mirošov-Příkosice\PZS_km_11,058_11,377</t>
  </si>
  <si>
    <t>\\OR00000PLZNT011\SSZT_PLZ-Interní\DOKLADY_K_ZAŘÍZENÍ\Protokoly_k_zařízení\714A_Rokycany-Nezvěstice\Mirošov-Příkosice\PZS_km_11,719</t>
  </si>
  <si>
    <t>\\OR00000PLZNT011\SSZT_PLZ-Interní\DOKLADY_K_ZAŘÍZENÍ\Protokoly_k_zařízení\714A_Rokycany-Nezvěstice\Mirošov-Příkosice\PZS_km_12,165</t>
  </si>
  <si>
    <t>\\OR00000PLZNT011\SSZT_PLZ-Interní\DOKLADY_K_ZAŘÍZENÍ\Protokoly_k_zařízení\714A_Rokycany-Nezvěstice\Mirošov-Příkosice\PZS_km_12,361</t>
  </si>
  <si>
    <t>\\OR00000PLZNT011\SSZT_PLZ-Interní\DOKLADY_K_ZAŘÍZENÍ\Protokoly_k_zařízení\714A_Rokycany-Nezvěstice\Příkosice-Nezvěstice\PZS km 12,933</t>
  </si>
  <si>
    <t>\\OR00000PLZNT011\SSZT_PLZ-Interní\DOKLADY_K_ZAŘÍZENÍ\Protokoly_k_zařízení\714A_Rokycany-Nezvěstice\Příkosice-Nezvěstice\PZS km 14,471</t>
  </si>
  <si>
    <t>\\OR00000PLZNT011\SSZT_PLZ-Interní\DOKLADY_K_ZAŘÍZENÍ\Protokoly_k_zařízení\714A_Rokycany-Nezvěstice\Příkosice-Nezvěstice\PZS km 15,050</t>
  </si>
  <si>
    <t>\\OR00000PLZNT011\SSZT_PLZ-Interní\DOKLADY_K_ZAŘÍZENÍ\Protokoly_k_zařízení\714A_Rokycany-Nezvěstice\Příkosice-Nezvěstice\PZS km 19,487</t>
  </si>
  <si>
    <t>\\OR00000PLZNT011\SSZT_PLZ-Interní\DOKLADY_K_ZAŘÍZENÍ\Protokoly_k_zařízení\714A_Rokycany-Nezvěstice\Příkosice-Nezvěstice\PZS km 20,518</t>
  </si>
  <si>
    <t>\\OR00000PLZNT011\SSZT_PLZ-Interní\DOKLADY_K_ZAŘÍZENÍ\Protokoly_k_zařízení\714A_Rokycany-Nezvěstice\Příkosice-Nezvěstice\PZS km 21,176</t>
  </si>
  <si>
    <t>\\OR00000PLZNT011\SSZT_PLZ-Interní\DOKLADY_K_ZAŘÍZENÍ\Protokoly_k_zařízení\714A_Rokycany-Nezvěstice\Příkosice-Nezvěstice\PZS km 22,388</t>
  </si>
  <si>
    <t>\\OR00000PLZNT011\SSZT_PLZ-Interní\DOKLADY_K_ZAŘÍZENÍ\Protokoly_k_zařízení\714A_Rokycany-Nezvěstice\Příkosice-Nezvěstice\PZS km 23,487</t>
  </si>
  <si>
    <t>\\OR00000PLZNT011\SSZT_PLZ-Interní\DOKLADY_K_ZAŘÍZENÍ\Protokoly_k_zařízení\714A_Rokycany-Nezvěstice\Příkosice-Nezvěstice\PZS km 24,000</t>
  </si>
  <si>
    <t>\\OR00000PLZNT011\SSZT_PLZ-Interní\DOKLADY_K_ZAŘÍZENÍ\Protokoly_k_zařízení\714B_Ejpovice-Radnice\PZS km 10,077</t>
  </si>
  <si>
    <t>\\OR00000PLZNT011\SSZT_PLZ-Interní\DOKLADY_K_ZAŘÍZENÍ\Protokoly_k_zařízení\714B_Ejpovice-Radnice\PZS km 10,504</t>
  </si>
  <si>
    <t>\\OR00000PLZNT011\SSZT_PLZ-Interní\DOKLADY_K_ZAŘÍZENÍ\Protokoly_k_zařízení\714B_Ejpovice-Radnice\PZS km 12,637</t>
  </si>
  <si>
    <t>\\OR00000PLZNT011\SSZT_PLZ-Interní\DOKLADY_K_ZAŘÍZENÍ\Protokoly_k_zařízení\714B_Ejpovice-Radnice\PZS km 12,846</t>
  </si>
  <si>
    <t>\\OR00000PLZNT011\SSZT_PLZ-Interní\DOKLADY_K_ZAŘÍZENÍ\Protokoly_k_zařízení\714B_Ejpovice-Radnice\PZS km 3,618</t>
  </si>
  <si>
    <t>\\OR00000PLZNT011\SSZT_PLZ-Interní\DOKLADY_K_ZAŘÍZENÍ\Protokoly_k_zařízení\714B_Ejpovice-Radnice\PZS km 3,975</t>
  </si>
  <si>
    <t>\\OR00000PLZNT011\SSZT_PLZ-Interní\DOKLADY_K_ZAŘÍZENÍ\Protokoly_k_zařízení\714B_Ejpovice-Radnice\PZS km 13,391</t>
  </si>
  <si>
    <t>\\OR00000PLZNT011\SSZT_PLZ-Interní\DOKLADY_K_ZAŘÍZENÍ\Protokoly_k_zařízení\714B_Ejpovice-Radnice\PZS km 13,852</t>
  </si>
  <si>
    <t>\\OR00000PLZNT011\SSZT_PLZ-Interní\DOKLADY_K_ZAŘÍZENÍ\Protokoly_k_zařízení\714B_Ejpovice-Radnice\PZS km 15,054</t>
  </si>
  <si>
    <t>\\OR00000PLZNT011\SSZT_PLZ-Interní\DOKLADY_K_ZAŘÍZENÍ\Protokoly_k_zařízení\714B_Ejpovice-Radnice\PZS km 15,555</t>
  </si>
  <si>
    <t>\\OR00000PLZNT011\SSZT_PLZ-Interní\DOKLADY_K_ZAŘÍZENÍ\Protokoly_k_zařízení\714B_Ejpovice-Radnice\PZS km 16,006</t>
  </si>
  <si>
    <t>\\OR00000PLZNT011\SSZT_PLZ-Interní\DOKLADY_K_ZAŘÍZENÍ\Protokoly_k_zařízení\714B_Ejpovice-Radnice\PZS km 16,669</t>
  </si>
  <si>
    <t>\\OR00000PLZNT011\SSZT_PLZ-Interní\DOKLADY_K_ZAŘÍZENÍ\Protokoly_k_zařízení\714B_Ejpovice-Radnice\PZS km 16,948</t>
  </si>
  <si>
    <t>\\OR00000PLZNT011\SSZT_PLZ-Interní\DOKLADY_K_ZAŘÍZENÍ\Protokoly_k_zařízení\714B_Ejpovice-Radnice\PZS km 17,588</t>
  </si>
  <si>
    <t>\\OR00000PLZNT011\SSZT_PLZ-Interní\DOKLADY_K_ZAŘÍZENÍ\Protokoly_k_zařízení\714B_Ejpovice-Radnice\PZS km 17,904</t>
  </si>
  <si>
    <t>\\OR00000PLZNT011\SSZT_PLZ-Interní\DOKLADY_K_ZAŘÍZENÍ\Protokoly_k_zařízení\714B_Ejpovice-Radnice\PZS km 18,397</t>
  </si>
  <si>
    <t>\\OR00000PLZNT011\SSZT_PLZ-Interní\DOKLADY_K_ZAŘÍZENÍ\Protokoly_k_zařízení\714B_Ejpovice-Radnice\PZS km 19,373</t>
  </si>
  <si>
    <t>\\OR00000PLZNT011\SSZT_PLZ-Interní\DOKLADY_K_ZAŘÍZENÍ\Protokoly_k_zařízení\713A_Plzeň-Zbiroh\PZS km 77,253</t>
  </si>
  <si>
    <t>\\OR00000PLZNT011\SSZT_PLZ-Interní\DOKLADY_K_ZAŘÍZENÍ\Protokoly_k_zařízení\713A_Plzeň-Zbiroh\PZS km 71,717</t>
  </si>
  <si>
    <t>\\OR00000PLZNT011\SSZT_PLZ-Interní\DOKLADY_K_ZAŘÍZENÍ\Protokoly_k_zařízení\719_Plzeň-Žatec\PZS km 5,994</t>
  </si>
  <si>
    <t>\\OR00000PLZNT011\SSZT_PLZ-Interní\DOKLADY_K_ZAŘÍZENÍ\Protokoly_k_zařízení\719_Plzeň-Žatec\PZS km 8,161</t>
  </si>
  <si>
    <t>\\OR00000PLZNT011\SSZT_PLZ-Interní\DOKLADY_K_ZAŘÍZENÍ\Protokoly_k_zařízení\719_Plzeň-Žatec\PZS km 8,577</t>
  </si>
  <si>
    <t>\\OR00000PLZNT011\SSZT_PLZ-Interní\DOKLADY_K_ZAŘÍZENÍ\Protokoly_k_zařízení\719_Plzeň-Žatec\PZS km 9,213</t>
  </si>
  <si>
    <t>\\OR00000PLZNT011\SSZT_PLZ-Interní\DOKLADY_K_ZAŘÍZENÍ\Protokoly_k_zařízení\719_Plzeň-Žatec\PZS km 9,848</t>
  </si>
  <si>
    <t>\\OR00000PLZNT011\SSZT_PLZ-Interní\DOKLADY_K_ZAŘÍZENÍ\Protokoly_k_zařízení\719_Plzeň-Žatec\PZS km 10,513</t>
  </si>
  <si>
    <t>\\OR00000PLZNT011\SSZT_PLZ-Interní\DOKLADY_K_ZAŘÍZENÍ\Protokoly_k_zařízení\719_Plzeň-Žatec\PZS km 11,217</t>
  </si>
  <si>
    <t>\\OR00000PLZNT011\SSZT_PLZ-Interní\DOKLADY_K_ZAŘÍZENÍ\Protokoly_k_zařízení\719_Plzeň-Žatec\PZS km 17,512</t>
  </si>
  <si>
    <t>\\OR00000PLZNT011\SSZT_PLZ-Interní\DOKLADY_K_ZAŘÍZENÍ\Protokoly_k_zařízení\719_Plzeň-Žatec\PZS km 21,504</t>
  </si>
  <si>
    <t>\\OR00000PLZNT011\SSZT_PLZ-Interní\DOKLADY_K_ZAŘÍZENÍ\Protokoly_k_zařízení\719_Plzeň-Žatec\PZS km 22,694</t>
  </si>
  <si>
    <t>\\OR00000PLZNT011\SSZT_PLZ-Interní\DOKLADY_K_ZAŘÍZENÍ\Protokoly_k_zařízení\719_Plzeň-Žatec\PZS km 25,423</t>
  </si>
  <si>
    <t>\\OR00000PLZNT011\SSZT_PLZ-Interní\DOKLADY_K_ZAŘÍZENÍ\Protokoly_k_zařízení\719_Plzeň-Žatec\PZS km 26,539</t>
  </si>
  <si>
    <t>\\OR00000PLZNT011\SSZT_PLZ-Interní\DOKLADY_K_ZAŘÍZENÍ\Protokoly_k_zařízení\719_Plzeň-Žatec\PZS km 32,144</t>
  </si>
  <si>
    <t>\\OR00000PLZNT011\SSZT_PLZ-Interní\DOKLADY_K_ZAŘÍZENÍ\Protokoly_k_zařízení\719_Plzeň-Žatec\PZS km 137,775</t>
  </si>
  <si>
    <t>\\OR00000PLZNT011\SSZT_PLZ-Interní\DOKLADY_K_ZAŘÍZENÍ\Protokoly_k_zařízení\719_Plzeň-Žatec\PZS km 142,697</t>
  </si>
  <si>
    <t>\\OR00000PLZNT011\SSZT_PLZ-Interní\DOKLADY_K_ZAŘÍZENÍ\Protokoly_k_zařízení\719_Plzeň-Žatec\PZS km 143,676+143,786</t>
  </si>
  <si>
    <t>\\OR00000PLZNT011\SSZT_PLZ-Interní\DOKLADY_K_ZAŘÍZENÍ\Protokoly_k_zařízení\719_Plzeň-Žatec\PZS km 145,935</t>
  </si>
  <si>
    <t>\\OR00000PLZNT011\SSZT_PLZ-Interní\DOKLADY_K_ZAŘÍZENÍ\Protokoly_k_zařízení\719_Plzeň-Žatec\PZS km 146,091</t>
  </si>
  <si>
    <t>\\OR00000PLZNT011\SSZT_PLZ-Interní\DOKLADY_K_ZAŘÍZENÍ\Protokoly_k_zařízení\719_Plzeň-Žatec\PZS km 146,807</t>
  </si>
  <si>
    <t>\\OR00000PLZNT011\SSZT_PLZ-Interní\DOKLADY_K_ZAŘÍZENÍ\Protokoly_k_zařízení\719_Plzeň-Žatec\PZS km 147,218</t>
  </si>
  <si>
    <t>\\OR00000PLZNT011\SSZT_PLZ-Interní\DOKLADY_K_ZAŘÍZENÍ\Protokoly_k_zařízení\719_Plzeň-Žatec\PZS km 150,196</t>
  </si>
  <si>
    <t>\\OR00000PLZNT011\SSZT_PLZ-Interní\DOKLADY_K_ZAŘÍZENÍ\Protokoly_k_zařízení\719_Plzeň-Žatec\PZS km 152,551</t>
  </si>
  <si>
    <t>\\OR00000PLZNT011\SSZT_PLZ-Interní\DOKLADY_K_ZAŘÍZENÍ\Protokoly_k_zařízení\719_Plzeň-Žatec\PZS km 153,054</t>
  </si>
  <si>
    <t>\\OR00000PLZNT011\SSZT_PLZ-Interní\DOKLADY_K_ZAŘÍZENÍ\Protokoly_k_zařízení\719_Plzeň-Žatec\PZS km 153,379</t>
  </si>
  <si>
    <t>\\OR00000PLZNT011\SSZT_PLZ-Interní\DOKLADY_K_ZAŘÍZENÍ\Protokoly_k_zařízení\712A_Vejprnice-Č.Kubice\PZS km 117,860</t>
  </si>
  <si>
    <t>\\OR00000PLZNT011\SSZT_PLZ-Interní\DOKLADY_K_ZAŘÍZENÍ\Protokoly_k_zařízení\712A_Vejprnice-Č.Kubice\PZS km 120,593+120,627</t>
  </si>
  <si>
    <t>\\OR00000PLZNT011\SSZT_PLZ-Interní\DOKLADY_K_ZAŘÍZENÍ\Protokoly_k_zařízení\712A_Vejprnice-Č.Kubice\PZS km 122,022</t>
  </si>
  <si>
    <t>\\OR00000PLZNT011\SSZT_PLZ-Interní\DOKLADY_K_ZAŘÍZENÍ\Protokoly_k_zařízení\712A_Vejprnice-Č.Kubice\PZS km 122,722</t>
  </si>
  <si>
    <t>\\OR00000PLZNT011\SSZT_PLZ-Interní\DOKLADY_K_ZAŘÍZENÍ\Protokoly_k_zařízení\712A_Vejprnice-Č.Kubice\PZS km 123,613</t>
  </si>
  <si>
    <t>\\OR00000PLZNT011\SSZT_PLZ-Interní\DOKLADY_K_ZAŘÍZENÍ\Protokoly_k_zařízení\712A_Vejprnice-Č.Kubice\PZS km 124,882</t>
  </si>
  <si>
    <t>\\OR00000PLZNT011\SSZT_PLZ-Interní\DOKLADY_K_ZAŘÍZENÍ\Protokoly_k_zařízení\712A_Vejprnice-Č.Kubice\PZS km 127,885</t>
  </si>
  <si>
    <t>\\OR00000PLZNT011\SSZT_PLZ-Interní\DOKLADY_K_ZAŘÍZENÍ\Protokoly_k_zařízení\712A_Vejprnice-Č.Kubice\PZS km 129,545</t>
  </si>
  <si>
    <t>\\OR00000PLZNT011\SSZT_PLZ-Interní\DOKLADY_K_ZAŘÍZENÍ\Protokoly_k_zařízení\712A_Vejprnice-Č.Kubice\PZS km 134,661</t>
  </si>
  <si>
    <t>\\OR00000PLZNT011\SSZT_PLZ-Interní\DOKLADY_K_ZAŘÍZENÍ\Protokoly_k_zařízení\712A_Vejprnice-Č.Kubice\PZS km 135,957</t>
  </si>
  <si>
    <t>\\OR00000PLZNT011\SSZT_PLZ-Interní\DOKLADY_K_ZAŘÍZENÍ\Protokoly_k_zařízení\712A_Vejprnice-Č.Kubice\PZS km 136,464</t>
  </si>
  <si>
    <t>\\OR00000PLZNT011\SSZT_PLZ-Interní\DOKLADY_K_ZAŘÍZENÍ\Protokoly_k_zařízení\712A_Vejprnice-Č.Kubice\PZS km 137,473</t>
  </si>
  <si>
    <t>\\OR00000PLZNT011\SSZT_PLZ-Interní\DOKLADY_K_ZAŘÍZENÍ\Protokoly_k_zařízení\712A_Vejprnice-Č.Kubice\PZS km 141,403</t>
  </si>
  <si>
    <t>\\OR00000PLZNT011\SSZT_PLZ-Interní\DOKLADY_K_ZAŘÍZENÍ\Protokoly_k_zařízení\712A_Vejprnice-Č.Kubice\PZS km 142,861+142,649</t>
  </si>
  <si>
    <t>\\OR00000PLZNT011\SSZT_PLZ-Interní\DOKLADY_K_ZAŘÍZENÍ\Protokoly_k_zařízení\712A_Vejprnice-Č.Kubice\PZS km 147,999</t>
  </si>
  <si>
    <t>\\OR00000PLZNT011\SSZT_PLZ-Interní\DOKLADY_K_ZAŘÍZENÍ\Protokoly_k_zařízení\712A_Vejprnice-Č.Kubice\PZS km 148,280</t>
  </si>
  <si>
    <t>\\OR00000PLZNT011\SSZT_PLZ-Interní\DOKLADY_K_ZAŘÍZENÍ\Protokoly_k_zařízení\712A_Vejprnice-Č.Kubice\PZS km 148,471</t>
  </si>
  <si>
    <t>\\OR00000PLZNT011\SSZT_PLZ-Interní\DOKLADY_K_ZAŘÍZENÍ\Protokoly_k_zařízení\712A_Vejprnice-Č.Kubice\PZS km 150,637</t>
  </si>
  <si>
    <t>\\OR00000PLZNT011\SSZT_PLZ-Interní\DOKLADY_K_ZAŘÍZENÍ\Protokoly_k_zařízení\712A_Vejprnice-Č.Kubice\PZS km 153,067</t>
  </si>
  <si>
    <t>\\OR00000PLZNT011\SSZT_PLZ-Interní\DOKLADY_K_ZAŘÍZENÍ\Protokoly_k_zařízení\712A_Vejprnice-Č.Kubice\PZS km 155,006</t>
  </si>
  <si>
    <t>\\OR00000PLZNT011\SSZT_PLZ-Interní\DOKLADY_K_ZAŘÍZENÍ\Protokoly_k_zařízení\712A_Vejprnice-Č.Kubice\PZS km 156,256</t>
  </si>
  <si>
    <t>\\OR00000PLZNT011\SSZT_PLZ-Interní\DOKLADY_K_ZAŘÍZENÍ\Protokoly_k_zařízení\712A_Vejprnice-Č.Kubice\PZS km 157,259</t>
  </si>
  <si>
    <t>\\OR00000PLZNT011\SSZT_PLZ-Interní\DOKLADY_K_ZAŘÍZENÍ\Protokoly_k_zařízení\712A_Vejprnice-Č.Kubice\PZS km 158,840</t>
  </si>
  <si>
    <t>\\OR00000PLZNT011\SSZT_PLZ-Interní\DOKLADY_K_ZAŘÍZENÍ\Protokoly_k_zařízení\712A_Vejprnice-Č.Kubice\PZS km 159,074</t>
  </si>
  <si>
    <t>\\OR00000PLZNT011\SSZT_PLZ-Interní\DOKLADY_K_ZAŘÍZENÍ\Protokoly_k_zařízení\712A_Vejprnice-Č.Kubice\PZS km 160,231</t>
  </si>
  <si>
    <t>\\OR00000PLZNT011\SSZT_PLZ-Interní\DOKLADY_K_ZAŘÍZENÍ\Protokoly_k_zařízení\712A_Vejprnice-Č.Kubice\PZS km 160,941</t>
  </si>
  <si>
    <t>\\OR00000PLZNT011\SSZT_PLZ-Interní\DOKLADY_K_ZAŘÍZENÍ\Protokoly_k_zařízení\712A_Vejprnice-Č.Kubice\PZS km 161,291</t>
  </si>
  <si>
    <t>\\OR00000PLZNT011\SSZT_PLZ-Interní\DOKLADY_K_ZAŘÍZENÍ\Protokoly_k_zařízení\712A_Vejprnice-Č.Kubice\PZS km 162,610</t>
  </si>
  <si>
    <t>\\OR00000PLZNT011\SSZT_PLZ-Interní\DOKLADY_K_ZAŘÍZENÍ\Protokoly_k_zařízení\712A_Vejprnice-Č.Kubice\PZS km 166,435</t>
  </si>
  <si>
    <t>\\OR00000PLZNT011\SSZT_PLZ-Interní\DOKLADY_K_ZAŘÍZENÍ\Protokoly_k_zařízení\712A_Vejprnice-Č.Kubice\PZS km 166,995</t>
  </si>
  <si>
    <t>\\OR00000PLZNT011\SSZT_PLZ-Interní\DOKLADY_K_ZAŘÍZENÍ\Protokoly_k_zařízení\712A_Vejprnice-Č.Kubice\PZS km 168,871</t>
  </si>
  <si>
    <t>\\OR00000PLZNT011\SSZT_PLZ-Interní\DOKLADY_K_ZAŘÍZENÍ\Protokoly_k_zařízení\712A_Vejprnice-Č.Kubice\PZS km 169,467</t>
  </si>
  <si>
    <t>\\OR00000PLZNT011\SSZT_PLZ-Interní\DOKLADY_K_ZAŘÍZENÍ\Protokoly_k_zařízení\712A_Vejprnice-Č.Kubice\PZS km 169,869</t>
  </si>
  <si>
    <t>\\OR00000PLZNT011\SSZT_PLZ-Interní\DOKLADY_K_ZAŘÍZENÍ\Protokoly_k_zařízení\712A_Vejprnice-Č.Kubice\PZS km 171,316</t>
  </si>
  <si>
    <t>\\OR00000PLZNT011\SSZT_PLZ-Interní\DOKLADY_K_ZAŘÍZENÍ\Protokoly_k_zařízení\712A_Vejprnice-Č.Kubice\PZS km 171,661</t>
  </si>
  <si>
    <t>\\OR00000PLZNT011\SSZT_PLZ-Interní\DOKLADY_K_ZAŘÍZENÍ\Protokoly_k_zařízení\712A_Vejprnice-Č.Kubice\PZS km 176,206</t>
  </si>
  <si>
    <t>\\OR00000PLZNT011\SSZT_PLZ-Interní\DOKLADY_K_ZAŘÍZENÍ\Protokoly_k_zařízení\712A_Vejprnice-Č.Kubice\PZS km 177,527</t>
  </si>
  <si>
    <t>\\OR00000PLZNT011\SSZT_PLZ-Interní\DOKLADY_K_ZAŘÍZENÍ\Protokoly_k_zařízení\712A_Vejprnice-Č.Kubice\PZS km 180,097</t>
  </si>
  <si>
    <t>\\OR00000PLZNT011\SSZT_PLZ-Interní\DOKLADY_K_ZAŘÍZENÍ\Protokoly_k_zařízení\712A_Vejprnice-Č.Kubice\PZS km 180,640</t>
  </si>
  <si>
    <t>\\OR00000PLZNT011\SSZT_PLZ-Interní\DOKLADY_K_ZAŘÍZENÍ\Protokoly_k_zařízení\711_Plzeň-Ž.Ruda\PZS km 96,014</t>
  </si>
  <si>
    <t>\\OR00000PLZNT011\SSZT_PLZ-Interní\DOKLADY_K_ZAŘÍZENÍ\Protokoly_k_zařízení\711_Plzeň-Ž.Ruda\PZS km 95,436</t>
  </si>
  <si>
    <t>\\OR00000PLZNT011\SSZT_PLZ-Interní\DOKLADY_K_ZAŘÍZENÍ\Protokoly_k_zařízení\711_Plzeň-Ž.Ruda\PZS km 94,887</t>
  </si>
  <si>
    <t>\\OR00000PLZNT011\SSZT_PLZ-Interní\DOKLADY_K_ZAŘÍZENÍ\Protokoly_k_zařízení\711_Plzeň-Ž.Ruda\PZS km 94,078</t>
  </si>
  <si>
    <t>\\OR00000PLZNT011\SSZT_PLZ-Interní\DOKLADY_K_ZAŘÍZENÍ\Protokoly_k_zařízení\711_Plzeň-Ž.Ruda\PZS km 91,163</t>
  </si>
  <si>
    <t>\\OR00000PLZNT011\SSZT_PLZ-Interní\DOKLADY_K_ZAŘÍZENÍ\Protokoly_k_zařízení\711_Plzeň-Ž.Ruda\PZS km 85,557</t>
  </si>
  <si>
    <t>\\OR00000PLZNT011\SSZT_PLZ-Interní\DOKLADY_K_ZAŘÍZENÍ\Protokoly_k_zařízení\711_Plzeň-Ž.Ruda\PZS km 82,235</t>
  </si>
  <si>
    <t>\\OR00000PLZNT011\SSZT_PLZ-Interní\DOKLADY_K_ZAŘÍZENÍ\Protokoly_k_zařízení\711_Plzeň-Ž.Ruda\PZS km 80,645</t>
  </si>
  <si>
    <t>\\OR00000PLZNT011\SSZT_PLZ-Interní\DOKLADY_K_ZAŘÍZENÍ\Protokoly_k_zařízení\711_Plzeň-Ž.Ruda\PZS km 79,834</t>
  </si>
  <si>
    <t>\\OR00000PLZNT011\SSZT_PLZ-Interní\DOKLADY_K_ZAŘÍZENÍ\Protokoly_k_zařízení\711_Plzeň-Ž.Ruda\PZS km 78,769</t>
  </si>
  <si>
    <t>\\OR00000PLZNT011\SSZT_PLZ-Interní\DOKLADY_K_ZAŘÍZENÍ\Protokoly_k_zařízení\711_Plzeň-Ž.Ruda\PZS km 78,225</t>
  </si>
  <si>
    <t>\\OR00000PLZNT011\SSZT_PLZ-Interní\DOKLADY_K_ZAŘÍZENÍ\Protokoly_k_zařízení\711_Plzeň-Ž.Ruda\PZS km 77,386</t>
  </si>
  <si>
    <t>\\OR00000PLZNT011\SSZT_PLZ-Interní\DOKLADY_K_ZAŘÍZENÍ\Protokoly_k_zařízení\711_Plzeň-Ž.Ruda\PZS km 75,961</t>
  </si>
  <si>
    <t>\\OR00000PLZNT011\SSZT_PLZ-Interní\DOKLADY_K_ZAŘÍZENÍ\Protokoly_k_zařízení\711_Plzeň-Ž.Ruda\PZS km 74,258</t>
  </si>
  <si>
    <t>\\OR00000PLZNT011\SSZT_PLZ-Interní\DOKLADY_K_ZAŘÍZENÍ\Protokoly_k_zařízení\711_Plzeň-Ž.Ruda\PZS km 72,883</t>
  </si>
  <si>
    <t>\\OR00000PLZNT011\SSZT_PLZ-Interní\DOKLADY_K_ZAŘÍZENÍ\Protokoly_k_zařízení\711_Plzeň-Ž.Ruda\PZS km 71,600</t>
  </si>
  <si>
    <t>\\OR00000PLZNT011\SSZT_PLZ-Interní\DOKLADY_K_ZAŘÍZENÍ\Protokoly_k_zařízení\711_Plzeň-Ž.Ruda\PZS km 69,305</t>
  </si>
  <si>
    <t>\\OR00000PLZNT011\SSZT_PLZ-Interní\DOKLADY_K_ZAŘÍZENÍ\Protokoly_k_zařízení\711_Plzeň-Ž.Ruda\PZS km 68,297</t>
  </si>
  <si>
    <t>\\OR00000PLZNT011\SSZT_PLZ-Interní\DOKLADY_K_ZAŘÍZENÍ\Protokoly_k_zařízení\711_Plzeň-Ž.Ruda\PZS km 66,362</t>
  </si>
  <si>
    <t>\\OR00000PLZNT011\SSZT_PLZ-Interní\DOKLADY_K_ZAŘÍZENÍ\Protokoly_k_zařízení\711_Plzeň-Ž.Ruda\PZS km 66,068</t>
  </si>
  <si>
    <t>\\OR00000PLZNT011\SSZT_PLZ-Interní\DOKLADY_K_ZAŘÍZENÍ\Protokoly_k_zařízení\711_Plzeň-Ž.Ruda\PZS km 65,934</t>
  </si>
  <si>
    <t>\\OR00000PLZNT011\SSZT_PLZ-Interní\DOKLADY_K_ZAŘÍZENÍ\Protokoly_k_zařízení\711_Plzeň-Ž.Ruda\PZS km 62,586</t>
  </si>
  <si>
    <t>\\OR00000PLZNT011\SSZT_PLZ-Interní\DOKLADY_K_ZAŘÍZENÍ\Protokoly_k_zařízení\711_Plzeň-Ž.Ruda\PZS km 59,381</t>
  </si>
  <si>
    <t>\\OR00000PLZNT011\SSZT_PLZ-Interní\DOKLADY_K_ZAŘÍZENÍ\Protokoly_k_zařízení\711_Plzeň-Ž.Ruda\PZS km 58,552</t>
  </si>
  <si>
    <t>\\OR00000PLZNT011\SSZT_PLZ-Interní\DOKLADY_K_ZAŘÍZENÍ\Protokoly_k_zařízení\711_Plzeň-Ž.Ruda\PZS km 55,654</t>
  </si>
  <si>
    <t>\\OR00000PLZNT011\SSZT_PLZ-Interní\DOKLADY_K_ZAŘÍZENÍ\Protokoly_k_zařízení\711_Plzeň-Ž.Ruda\PZS km 54,196</t>
  </si>
  <si>
    <t>\\OR00000PLZNT011\SSZT_PLZ-Interní\DOKLADY_K_ZAŘÍZENÍ\Protokoly_k_zařízení\711_Plzeň-Ž.Ruda\PZS km 53,803</t>
  </si>
  <si>
    <t>\\OR00000PLZNT011\SSZT_PLZ-Interní\DOKLADY_K_ZAŘÍZENÍ\Protokoly_k_zařízení\711_Plzeň-Ž.Ruda\PZS km 52,373</t>
  </si>
  <si>
    <t>\\OR00000PLZNT011\SSZT_PLZ-Interní\DOKLADY_K_ZAŘÍZENÍ\Protokoly_k_zařízení\711_Plzeň-Ž.Ruda\PZS km 48,005</t>
  </si>
  <si>
    <t>\\OR00000PLZNT011\SSZT_PLZ-Interní\DOKLADY_K_ZAŘÍZENÍ\Protokoly_k_zařízení\711_Plzeň-Ž.Ruda\PZS km 47,201</t>
  </si>
  <si>
    <t>\\OR00000PLZNT011\SSZT_PLZ-Interní\DOKLADY_K_ZAŘÍZENÍ\Protokoly_k_zařízení\711_Plzeň-Ž.Ruda\PZS km 45,331</t>
  </si>
  <si>
    <t>\\OR00000PLZNT011\SSZT_PLZ-Interní\DOKLADY_K_ZAŘÍZENÍ\Protokoly_k_zařízení\711_Plzeň-Ž.Ruda\PZS km 45,039</t>
  </si>
  <si>
    <t>\\OR00000PLZNT011\SSZT_PLZ-Interní\DOKLADY_K_ZAŘÍZENÍ\Protokoly_k_zařízení\711_Plzeň-Ž.Ruda\PZS km 44,499</t>
  </si>
  <si>
    <t>\\OR00000PLZNT011\SSZT_PLZ-Interní\DOKLADY_K_ZAŘÍZENÍ\Protokoly_k_zařízení\711_Plzeň-Ž.Ruda\PZS km 42,996</t>
  </si>
  <si>
    <t>\\OR00000PLZNT011\SSZT_PLZ-Interní\DOKLADY_K_ZAŘÍZENÍ\Protokoly_k_zařízení\711_Plzeň-Ž.Ruda\PZS km 39,136</t>
  </si>
  <si>
    <t>\\OR00000PLZNT011\SSZT_PLZ-Interní\DOKLADY_K_ZAŘÍZENÍ\Protokoly_k_zařízení\711_Plzeň-Ž.Ruda\PZS km 37,849</t>
  </si>
  <si>
    <t>\\OR00000PLZNT011\SSZT_PLZ-Interní\DOKLADY_K_ZAŘÍZENÍ\Protokoly_k_zařízení\711_Plzeň-Ž.Ruda\PZS km 37,308</t>
  </si>
  <si>
    <t>\\OR00000PLZNT011\SSZT_PLZ-Interní\DOKLADY_K_ZAŘÍZENÍ\Protokoly_k_zařízení\711_Plzeň-Ž.Ruda\PZS km 34,698</t>
  </si>
  <si>
    <t>\\OR00000PLZNT011\SSZT_PLZ-Interní\DOKLADY_K_ZAŘÍZENÍ\Protokoly_k_zařízení\711_Plzeň-Ž.Ruda\PZS km 33,378</t>
  </si>
  <si>
    <t>\\OR00000PLZNT011\SSZT_PLZ-Interní\DOKLADY_K_ZAŘÍZENÍ\Protokoly_k_zařízení\711_Plzeň-Ž.Ruda\PZS km 27,547</t>
  </si>
  <si>
    <t>\\OR00000PLZNT011\SSZT_PLZ-Interní\DOKLADY_K_ZAŘÍZENÍ\Protokoly_k_zařízení\711_Plzeň-Ž.Ruda\PZS km 26,888</t>
  </si>
  <si>
    <t>\\OR00000PLZNT011\SSZT_PLZ-Interní\DOKLADY_K_ZAŘÍZENÍ\Protokoly_k_zařízení\711_Plzeň-Ž.Ruda\PZS km 26,073</t>
  </si>
  <si>
    <t>\\OR00000PLZNT011\SSZT_PLZ-Interní\DOKLADY_K_ZAŘÍZENÍ\Protokoly_k_zařízení\711_Plzeň-Ž.Ruda\PZS km 18,345</t>
  </si>
  <si>
    <t>\\OR00000PLZNT011\SSZT_PLZ-Interní\DOKLADY_K_ZAŘÍZENÍ\Protokoly_k_zařízení\711_Plzeň-Ž.Ruda\PZS km 15,664</t>
  </si>
  <si>
    <t>\\OR00000PLZNT011\SSZT_PLZ-Interní\DOKLADY_K_ZAŘÍZENÍ\Protokoly_k_zařízení\711_Plzeň-Ž.Ruda\PZS km 11,054</t>
  </si>
  <si>
    <t>\\OR00000PLZNT011\SSZT_PLZ-Interní\DOKLADY_K_ZAŘÍZENÍ\Protokoly_k_zařízení\711_Plzeň-Ž.Ruda\PZS km 3,544</t>
  </si>
  <si>
    <t>\\OR00000PLZNT011\SSZT_PLZ-Interní\DOKLADY_K_ZAŘÍZENÍ\Protokoly_k_zařízení\711_Plzeň-Ž.Ruda\PZS km 3,304</t>
  </si>
  <si>
    <t>\\OR00000PLZNT011\SSZT_PLZ-Interní\DOKLADY_K_ZAŘÍZENÍ\Protokoly_k_zařízení\711_Plzeň-Ž.Ruda\PZS km 2,891</t>
  </si>
  <si>
    <t>\\OR00000PLZNT011\SSZT_PLZ-Interní\DOKLADY_K_ZAŘÍZENÍ\Protokoly_k_zařízení\711_Plzeň-Ž.Ruda\PZS km 1,689</t>
  </si>
  <si>
    <t>\\OR00000PLZNT011\SSZT_PLZ-Interní\DOKLADY_K_ZAŘÍZENÍ\Protokoly_k_zařízení\710A_Horažďovice-Klatovy\PZS km 7,211</t>
  </si>
  <si>
    <t>\\OR00000PLZNT011\SSZT_PLZ-Interní\DOKLADY_K_ZAŘÍZENÍ\Protokoly_k_zařízení\710A_Horažďovice-Klatovy\PZS km 10,166</t>
  </si>
  <si>
    <t>\\OR00000PLZNT011\SSZT_PLZ-Interní\DOKLADY_K_ZAŘÍZENÍ\Protokoly_k_zařízení\710A_Horažďovice-Klatovy\PZS km 11,549</t>
  </si>
  <si>
    <t>\\OR00000PLZNT011\SSZT_PLZ-Interní\DOKLADY_K_ZAŘÍZENÍ\Protokoly_k_zařízení\710A_Horažďovice-Klatovy\PZS km 14,195</t>
  </si>
  <si>
    <t>\\OR00000PLZNT011\SSZT_PLZ-Interní\DOKLADY_K_ZAŘÍZENÍ\Protokoly_k_zařízení\710A_Horažďovice-Klatovy\PZS km 16,371</t>
  </si>
  <si>
    <t>\\OR00000PLZNT011\SSZT_PLZ-Interní\DOKLADY_K_ZAŘÍZENÍ\Protokoly_k_zařízení\710A_Horažďovice-Klatovy\PZS km 18,133</t>
  </si>
  <si>
    <t>\\OR00000PLZNT011\SSZT_PLZ-Interní\DOKLADY_K_ZAŘÍZENÍ\Protokoly_k_zařízení\710A_Horažďovice-Klatovy\PZS km 18,557</t>
  </si>
  <si>
    <t>\\OR00000PLZNT011\SSZT_PLZ-Interní\DOKLADY_K_ZAŘÍZENÍ\Protokoly_k_zařízení\710A_Horažďovice-Klatovy\PZS km 22,777</t>
  </si>
  <si>
    <t>\\OR00000PLZNT011\SSZT_PLZ-Interní\DOKLADY_K_ZAŘÍZENÍ\Protokoly_k_zařízení\710A_Horažďovice-Klatovy\PZS km 23,084</t>
  </si>
  <si>
    <t>\\OR00000PLZNT011\SSZT_PLZ-Interní\DOKLADY_K_ZAŘÍZENÍ\Protokoly_k_zařízení\710A_Horažďovice-Klatovy\PZS km 24,379</t>
  </si>
  <si>
    <t>\\OR00000PLZNT011\SSZT_PLZ-Interní\DOKLADY_K_ZAŘÍZENÍ\Protokoly_k_zařízení\710A_Horažďovice-Klatovy\PZS km 25,461</t>
  </si>
  <si>
    <t>\\OR00000PLZNT011\SSZT_PLZ-Interní\DOKLADY_K_ZAŘÍZENÍ\Protokoly_k_zařízení\710A_Horažďovice-Klatovy\PZS km 26,505</t>
  </si>
  <si>
    <t>\\OR00000PLZNT011\SSZT_PLZ-Interní\DOKLADY_K_ZAŘÍZENÍ\Protokoly_k_zařízení\710A_Horažďovice-Klatovy\PZS km 30,203</t>
  </si>
  <si>
    <t>\\OR00000PLZNT011\SSZT_PLZ-Interní\DOKLADY_K_ZAŘÍZENÍ\Protokoly_k_zařízení\710A_Horažďovice-Klatovy\PZS km 31,284</t>
  </si>
  <si>
    <t>\\OR00000PLZNT011\SSZT_PLZ-Interní\DOKLADY_K_ZAŘÍZENÍ\Protokoly_k_zařízení\710A_Horažďovice-Klatovy\PZS km 32,713</t>
  </si>
  <si>
    <t>\\OR00000PLZNT011\SSZT_PLZ-Interní\DOKLADY_K_ZAŘÍZENÍ\Protokoly_k_zařízení\710A_Horažďovice-Klatovy\PZS km 33,855</t>
  </si>
  <si>
    <t>\\OR00000PLZNT011\SSZT_PLZ-Interní\DOKLADY_K_ZAŘÍZENÍ\Protokoly_k_zařízení\710A_Horažďovice-Klatovy\PZS km 35,130</t>
  </si>
  <si>
    <t>\\OR00000PLZNT011\SSZT_PLZ-Interní\DOKLADY_K_ZAŘÍZENÍ\Protokoly_k_zařízení\710A_Horažďovice-Klatovy\PZS km 36,838</t>
  </si>
  <si>
    <t>\\OR00000PLZNT011\SSZT_PLZ-Interní\DOKLADY_K_ZAŘÍZENÍ\Protokoly_k_zařízení\710A_Horažďovice-Klatovy\PZS km 37,504</t>
  </si>
  <si>
    <t>\\OR00000PLZNT011\SSZT_PLZ-Interní\DOKLADY_K_ZAŘÍZENÍ\Protokoly_k_zařízení\710A_Horažďovice-Klatovy\PZS km 38,928</t>
  </si>
  <si>
    <t>\\OR00000PLZNT011\SSZT_PLZ-Interní\DOKLADY_K_ZAŘÍZENÍ\Protokoly_k_zařízení\710A_Horažďovice-Klatovy\PZS km 39,853</t>
  </si>
  <si>
    <t>\\OR00000PLZNT011\SSZT_PLZ-Interní\DOKLADY_K_ZAŘÍZENÍ\Protokoly_k_zařízení\710A_Horažďovice-Klatovy\PZS km 40,738</t>
  </si>
  <si>
    <t>\\OR00000PLZNT011\SSZT_PLZ-Interní\DOKLADY_K_ZAŘÍZENÍ\Protokoly_k_zařízení\710A_Horažďovice-Klatovy\PZS km 41,193</t>
  </si>
  <si>
    <t>\\OR00000PLZNT011\SSZT_PLZ-Interní\DOKLADY_K_ZAŘÍZENÍ\Protokoly_k_zařízení\710A_Horažďovice-Klatovy\PZS km 43,369</t>
  </si>
  <si>
    <t>\\OR00000PLZNT011\SSZT_PLZ-Interní\DOKLADY_K_ZAŘÍZENÍ\Protokoly_k_zařízení\710A_Horažďovice-Klatovy\PZS km 43,529</t>
  </si>
  <si>
    <t>\\OR00000PLZNT011\SSZT_PLZ-Interní\DOKLADY_K_ZAŘÍZENÍ\Protokoly_k_zařízení\710A_Horažďovice-Klatovy\PZS km 44,057</t>
  </si>
  <si>
    <t>\\OR00000PLZNT011\SSZT_PLZ-Interní\DOKLADY_K_ZAŘÍZENÍ\Protokoly_k_zařízení\710A_Horažďovice-Klatovy\PZS km 44,742</t>
  </si>
  <si>
    <t>\\OR00000PLZNT011\SSZT_PLZ-Interní\DOKLADY_K_ZAŘÍZENÍ\Protokoly_k_zařízení\710A_Horažďovice-Klatovy\PZS km 45,696</t>
  </si>
  <si>
    <t>\\OR00000PLZNT011\SSZT_PLZ-Interní\DOKLADY_K_ZAŘÍZENÍ\Protokoly_k_zařízení\710A_Horažďovice-Klatovy\PZS km 47,084</t>
  </si>
  <si>
    <t>\\OR00000PLZNT011\SSZT_PLZ-Interní\DOKLADY_K_ZAŘÍZENÍ\Protokoly_k_zařízení\710A_Horažďovice-Klatovy\PZS km 49,181</t>
  </si>
  <si>
    <t>\\OR00000PLZNT011\SSZT_PLZ-Interní\DOKLADY_K_ZAŘÍZENÍ\Protokoly_k_zařízení\710A_Horažďovice-Klatovy\PZS km 50,354</t>
  </si>
  <si>
    <t>\\OR00000PLZNT011\SSZT_PLZ-Interní\DOKLADY_K_ZAŘÍZENÍ\Protokoly_k_zařízení\710A_Horažďovice-Klatovy\PZS km 51,647</t>
  </si>
  <si>
    <t>\\OR00000PLZNT011\SSZT_PLZ-Interní\DOKLADY_K_ZAŘÍZENÍ\Protokoly_k_zařízení\710A_Horažďovice-Klatovy\PZS km 52,328</t>
  </si>
  <si>
    <t>\\OR00000PLZNT011\SSZT_PLZ-Interní\DOKLADY_K_ZAŘÍZENÍ\Protokoly_k_zařízení\710A_Horažďovice-Klatovy\PZS km 53,146</t>
  </si>
  <si>
    <t>\\OR00000PLZNT011\SSZT_PLZ-Interní\DOKLADY_K_ZAŘÍZENÍ\Protokoly_k_zařízení\710A_Horažďovice-Klatovy\PZS km 54,128</t>
  </si>
  <si>
    <t>\\OR00000PLZNT011\SSZT_PLZ-Interní\DOKLADY_K_ZAŘÍZENÍ\Protokoly_k_zařízení\710A_Horažďovice-Klatovy\PZS km 54,959</t>
  </si>
  <si>
    <t>\\OR00000PLZNT011\SSZT_PLZ-Interní\DOKLADY_K_ZAŘÍZENÍ\Protokoly_k_zařízení\710A_Horažďovice-Klatovy\PZS km 56,202</t>
  </si>
  <si>
    <t>\\OR00000PLZNT011\SSZT_PLZ-Interní\DOKLADY_K_ZAŘÍZENÍ\Protokoly_k_zařízení\710A_Horažďovice-Klatovy\PZS km 56,559</t>
  </si>
  <si>
    <t>\\OR00000PLZNT011\SSZT_PLZ-Interní\DOKLADY_K_ZAŘÍZENÍ\Protokoly_k_zařízení\710A_Horažďovice-Klatovy\PZS km 57,204</t>
  </si>
  <si>
    <t>\\OR00000PLZNT011\SSZT_PLZ-Interní\DOKLADY_K_ZAŘÍZENÍ\Protokoly_k_zařízení\710B_Klatovy-Domažlice\PZS km 4,596</t>
  </si>
  <si>
    <t>\\OR00000PLZNT011\SSZT_PLZ-Interní\DOKLADY_K_ZAŘÍZENÍ\Protokoly_k_zařízení\710B_Klatovy-Domažlice\PZS km 7,693</t>
  </si>
  <si>
    <t>\\OR00000PLZNT011\SSZT_PLZ-Interní\DOKLADY_K_ZAŘÍZENÍ\Protokoly_k_zařízení\710B_Klatovy-Domažlice\PZS km 15,115</t>
  </si>
  <si>
    <t>\\OR00000PLZNT011\SSZT_PLZ-Interní\DOKLADY_K_ZAŘÍZENÍ\Protokoly_k_zařízení\710B_Klatovy-Domažlice\PZS km 15,552</t>
  </si>
  <si>
    <t>\\OR00000PLZNT011\SSZT_PLZ-Interní\DOKLADY_K_ZAŘÍZENÍ\Protokoly_k_zařízení\710B_Klatovy-Domažlice\PZS km 18,437</t>
  </si>
  <si>
    <t>\\OR00000PLZNT011\SSZT_PLZ-Interní\DOKLADY_K_ZAŘÍZENÍ\Protokoly_k_zařízení\710B_Klatovy-Domažlice\PZS km 20,167</t>
  </si>
  <si>
    <t>\\OR00000PLZNT011\SSZT_PLZ-Interní\DOKLADY_K_ZAŘÍZENÍ\Protokoly_k_zařízení\710B_Klatovy-Domažlice\PZS km 21,577</t>
  </si>
  <si>
    <t>\\OR00000PLZNT011\SSZT_PLZ-Interní\DOKLADY_K_ZAŘÍZENÍ\Protokoly_k_zařízení\710B_Klatovy-Domažlice\PZS km 24,292</t>
  </si>
  <si>
    <t>\\OR00000PLZNT011\SSZT_PLZ-Interní\DOKLADY_K_ZAŘÍZENÍ\Protokoly_k_zařízení\710B_Klatovy-Domažlice\PZS km 30,339</t>
  </si>
  <si>
    <t>\\OR00000PLZNT011\SSZT_PLZ-Interní\DOKLADY_K_ZAŘÍZENÍ\Protokoly_k_zařízení\717A_Domažlice-Planá\PZS km 6,240</t>
  </si>
  <si>
    <t>\\OR00000PLZNT011\SSZT_PLZ-Interní\DOKLADY_K_ZAŘÍZENÍ\Protokoly_k_zařízení\717A_Domažlice-Planá\PZS km 8,750</t>
  </si>
  <si>
    <t>\\OR00000PLZNT011\SSZT_PLZ-Interní\DOKLADY_K_ZAŘÍZENÍ\Protokoly_k_zařízení\717A_Domažlice-Planá\PZS km 11,495</t>
  </si>
  <si>
    <t>\\OR00000PLZNT011\SSZT_PLZ-Interní\DOKLADY_K_ZAŘÍZENÍ\Protokoly_k_zařízení\717A_Domažlice-Planá\PZS km 16,168</t>
  </si>
  <si>
    <t>\\OR00000PLZNT011\SSZT_PLZ-Interní\DOKLADY_K_ZAŘÍZENÍ\Protokoly_k_zařízení\717A_Domažlice-Planá\PZS km 20,905</t>
  </si>
  <si>
    <t>\\OR00000PLZNT011\SSZT_PLZ-Interní\DOKLADY_K_ZAŘÍZENÍ\Protokoly_k_zařízení\717A_Domažlice-Planá\PZS km 20,090</t>
  </si>
  <si>
    <t>\\OR00000PLZNT011\SSZT_PLZ-Interní\DOKLADY_K_ZAŘÍZENÍ\Protokoly_k_zařízení\717A_Domažlice-Planá\PZS km 28,872</t>
  </si>
  <si>
    <t>\\OR00000PLZNT011\SSZT_PLZ-Interní\DOKLADY_K_ZAŘÍZENÍ\Protokoly_k_zařízení\717A_Domažlice-Planá\PZS km 31,678</t>
  </si>
  <si>
    <t>\\OR00000PLZNT011\SSZT_PLZ-Interní\DOKLADY_K_ZAŘÍZENÍ\Protokoly_k_zařízení\717A_Domažlice-Planá\PZS km 33,306</t>
  </si>
  <si>
    <t>\\OR00000PLZNT011\SSZT_PLZ-Interní\DOKLADY_K_ZAŘÍZENÍ\Protokoly_k_zařízení\717A_Domažlice-Planá\PZS km 36,756</t>
  </si>
  <si>
    <t>\\OR00000PLZNT011\SSZT_PLZ-Interní\DOKLADY_K_ZAŘÍZENÍ\Protokoly_k_zařízení\717A_Domažlice-Planá\PZS km 41,340</t>
  </si>
  <si>
    <t>\\OR00000PLZNT011\SSZT_PLZ-Interní\DOKLADY_K_ZAŘÍZENÍ\Protokoly_k_zařízení\717A_Domažlice-Planá\PZS km 53,454</t>
  </si>
  <si>
    <t>\\OR00000PLZNT011\SSZT_PLZ-Interní\DOKLADY_K_ZAŘÍZENÍ\Protokoly_k_zařízení\717A_Domažlice-Planá\PZS km 56,357</t>
  </si>
  <si>
    <t>\\OR00000PLZNT011\SSZT_PLZ-Interní\DOKLADY_K_ZAŘÍZENÍ\Protokoly_k_zařízení\717A_Domažlice-Planá\PZS km 71,823</t>
  </si>
  <si>
    <t>\\OR00000PLZNT011\SSZT_PLZ-Interní\DOKLADY_K_ZAŘÍZENÍ\Protokoly_k_zařízení\717A_Domažlice-Planá\PZS km 75,081+11,242</t>
  </si>
  <si>
    <t>\\OR00000PLZNT011\SSZT_PLZ-Interní\DOKLADY_K_ZAŘÍZENÍ\Protokoly_k_zařízení\717A_Domažlice-Planá\PZS km 3,222</t>
  </si>
  <si>
    <t>\\OR00000PLZNT011\SSZT_PLZ-Interní\DOKLADY_K_ZAŘÍZENÍ\Protokoly_k_zařízení\717A_Domažlice-Planá\PZS km 3,935</t>
  </si>
  <si>
    <t>\\OR00000PLZNT011\SSZT_PLZ-Interní\DOKLADY_K_ZAŘÍZENÍ\Protokoly_k_zařízení\717A_Domažlice-Planá\PZS km 5,475</t>
  </si>
  <si>
    <t>\\OR00000PLZNT011\SSZT_PLZ-Interní\DOKLADY_K_ZAŘÍZENÍ\Protokoly_k_zařízení\717A_Domažlice-Planá\PZS km 5,895</t>
  </si>
  <si>
    <t>\\OR00000PLZNT011\SSZT_PLZ-Interní\DOKLADY_K_ZAŘÍZENÍ\Protokoly_k_zařízení\717A_Domažlice-Planá\PZS km 6,453</t>
  </si>
  <si>
    <t>\\OR00000PLZNT011\SSZT_PLZ-Interní\DOKLADY_K_ZAŘÍZENÍ\Protokoly_k_zařízení\717A_Domažlice-Planá\PZS km 9,563</t>
  </si>
  <si>
    <t>\\OR00000PLZNT011\SSZT_PLZ-Interní\DOKLADY_K_ZAŘÍZENÍ\Protokoly_k_zařízení\717A_Domažlice-Planá\PZS km 10,712</t>
  </si>
  <si>
    <t>\\OR00000PLZNT011\SSZT_PLZ-Interní\DOKLADY_K_ZAŘÍZENÍ\Protokoly_k_zařízení\714C_Pňovany-Bezdružice\PZS km 12,587</t>
  </si>
  <si>
    <t>\\OR00000PLZNT011\SSZT_PLZ-Interní\DOKLADY_K_ZAŘÍZENÍ\Protokoly_k_zařízení\714C_Pňovany-Bezdružice\PZS km 19,864</t>
  </si>
  <si>
    <t>\\OR00000PLZNT011\SSZT_PLZ-Interní\DOKLADY_K_ZAŘÍZENÍ\Protokoly_k_zařízení\720_Plzeň-Cheb\PZS km 361,658 Kozolupy</t>
  </si>
  <si>
    <t>\\OR00000PLZNT011\SSZT_PLZ-Interní\DOKLADY_K_ZAŘÍZENÍ\Protokoly_k_zařízení\720_Plzeň-Cheb\PZS km 365,481</t>
  </si>
  <si>
    <t>\\OR00000PLZNT011\SSZT_PLZ-Interní\DOKLADY_K_ZAŘÍZENÍ\Protokoly_k_zařízení\720_Plzeň-Cheb\PZS km 369,239</t>
  </si>
  <si>
    <t>\\OR00000PLZNT011\SSZT_PLZ-Interní\DOKLADY_K_ZAŘÍZENÍ\Protokoly_k_zařízení\720_Plzeň-Cheb\PZS km 378,102</t>
  </si>
  <si>
    <t>\\OR00000PLZNT011\SSZT_PLZ-Interní\DOKLADY_K_ZAŘÍZENÍ\Protokoly_k_zařízení\720_Plzeň-Cheb\PZS km 383,828</t>
  </si>
  <si>
    <t>\\OR00000PLZNT011\SSZT_PLZ-Interní\DOKLADY_K_ZAŘÍZENÍ\Protokoly_k_zařízení\720_Plzeň-Cheb\PZS km 408,864</t>
  </si>
  <si>
    <t>\\OR00000PLZNT011\SSZT_PLZ-Interní\DOKLADY_K_ZAŘÍZENÍ\Protokoly_k_zařízení\720_Plzeň-Cheb\PZS km 416,557</t>
  </si>
  <si>
    <t>\\OR00000PLZNT011\SSZT_PLZ-Interní\DOKLADY_K_ZAŘÍZENÍ\Protokoly_k_zařízení\720_Plzeň-Cheb\PZS km 417,128</t>
  </si>
  <si>
    <t>\\OR00000PLZNT011\SSZT_PLZ-Interní\DOKLADY_K_ZAŘÍZENÍ\Protokoly_k_zařízení\720_Plzeň-Cheb\PZS km 422,920</t>
  </si>
  <si>
    <t>\\OR00000PLZNT011\SSZT_PLZ-Interní\DOKLADY_K_ZAŘÍZENÍ\Protokoly_k_zařízení\709B_Horažďovice_př.-Plzeň\PZS km 314,191</t>
  </si>
  <si>
    <t>\\OR00000PLZNT011\SSZT_PLZ-Interní\DOKLADY_K_ZAŘÍZENÍ\Protokoly_k_zařízení\709B_Horažďovice_př.-Plzeň\PZS km 313,375</t>
  </si>
  <si>
    <t>\\OR00000PLZNT011\SSZT_PLZ-Interní\DOKLADY_K_ZAŘÍZENÍ\Protokoly_k_zařízení\710A_Horažďovice-Klatovy\žst. Horažďovice m</t>
  </si>
  <si>
    <t>\\OR00000PLZNT011\SSZT_PLZ-Interní\DOKLADY_K_ZAŘÍZENÍ\Protokoly_k_zařízení\710A_Horažďovice-Klatovy\PZS km 2,882</t>
  </si>
  <si>
    <t>\\OR00000PLZNT011\SSZT_PLZ-Interní\DOKLADY_K_ZAŘÍZENÍ\Protokoly_k_zařízení\710B_Klatovy-Domažlice\žst. Kdyně</t>
  </si>
  <si>
    <t>\\OR00000PLZNT011\SSZT_PLZ-Interní\DOKLADY_K_ZAŘÍZENÍ\Protokoly_k_zařízení\717A_Domažlice-Planá\žst. Bělá</t>
  </si>
  <si>
    <t>\\OR00000PLZNT011\SSZT_PLZ-Interní\DOKLADY_K_ZAŘÍZENÍ\Protokoly_k_zařízení\717A_Domažlice-Planá\PZS km 57,996</t>
  </si>
  <si>
    <t>\\OR00000PLZNT011\SSZT_PLZ-Interní\DOKLADY_K_ZAŘÍZENÍ\Protokoly_k_zařízení\717A_Domažlice-Planá\žst. Tachov</t>
  </si>
  <si>
    <t>\\OR00000PLZNT011\SSZT_PLZ-Interní\DOKLADY_K_ZAŘÍZENÍ\Protokoly_k_zařízení\717A_Domažlice-Planá\žst. Poběžovice</t>
  </si>
  <si>
    <t>\\OR00000PLZNT011\SSZT_PLZ-Interní\DOKLADY_K_ZAŘÍZENÍ\Protokoly_k_zařízení\711_Plzeň-Ž.Ruda\žst. Železná Ruda - Alžbětín</t>
  </si>
  <si>
    <t>\\OR00000PLZNT011\SSZT_PLZ-Interní\DOKLADY_K_ZAŘÍZENÍ\Protokoly_k_zařízení\714C_Pňovany-Bezdružice\PZS km 3,454</t>
  </si>
  <si>
    <t>\\OR00000PLZNT011\SSZT_PLZ-Interní\DOKLADY_K_ZAŘÍZENÍ\Protokoly_k_zařízení\717A_Domažlice-Planá\PZS km 43,288</t>
  </si>
  <si>
    <t>\\OR00000PLZNT011\SSZT_PLZ-Interní\DOKLADY_K_ZAŘÍZENÍ\Protokoly_k_zařízení\717A_Domažlice-Planá\PZS km 43,471</t>
  </si>
  <si>
    <t>\\OR00000PLZNT011\SSZT_PLZ-Interní\DOKLADY_K_ZAŘÍZENÍ\Protokoly_k_zařízení\717A_Domažlice-Planá\PZS km 68,493</t>
  </si>
  <si>
    <t>\\OR00000PLZNT011\SSZT_PLZ-Interní\DOKLADY_K_ZAŘÍZENÍ\Protokoly_k_zařízení\717A_Domažlice-Planá\PZS km 42,296</t>
  </si>
  <si>
    <t>\\OR00000PLZNT011\SSZT_PLZ-Interní\DOKLADY_K_ZAŘÍZENÍ\Protokoly_k_zařízení\709B_Horažďovice_př.-Plzeň\PZS km 323,278</t>
  </si>
  <si>
    <t>Hypertext</t>
  </si>
  <si>
    <t>14/20-HRC</t>
  </si>
  <si>
    <t>P1186 + P1187</t>
  </si>
  <si>
    <t>TOSHIBA RAV</t>
  </si>
  <si>
    <t>Stříbro - Milíkov</t>
  </si>
  <si>
    <t>ESA</t>
  </si>
  <si>
    <t>P712</t>
  </si>
  <si>
    <t>FR/Prusík</t>
  </si>
  <si>
    <t>2006/2020</t>
  </si>
  <si>
    <t>P616 + P617</t>
  </si>
  <si>
    <t>RZZ</t>
  </si>
  <si>
    <t>ÚSt</t>
  </si>
  <si>
    <t>P1686/_87</t>
  </si>
  <si>
    <t>Pavlovice - Brod n.Tichou</t>
  </si>
  <si>
    <t>(07-09/09-10) ESA</t>
  </si>
  <si>
    <t>Plzeň-"A"</t>
  </si>
  <si>
    <t>S</t>
  </si>
  <si>
    <t>46-20-MP</t>
  </si>
  <si>
    <t>DO RZZ</t>
  </si>
  <si>
    <t>MTZ</t>
  </si>
  <si>
    <t>54-20-MP</t>
  </si>
  <si>
    <t>R16/20/HRC</t>
  </si>
  <si>
    <t>R17/20/HRC</t>
  </si>
  <si>
    <t>R25/20/HRC</t>
  </si>
  <si>
    <t>R24/20/HRC</t>
  </si>
  <si>
    <t>R22/20/HRC</t>
  </si>
  <si>
    <t>R20/20/HRC</t>
  </si>
  <si>
    <t>R23/20/HRC</t>
  </si>
  <si>
    <t>R18/20/HRC</t>
  </si>
  <si>
    <t>R19/20/HRC</t>
  </si>
  <si>
    <t>R21/20/HRC</t>
  </si>
  <si>
    <t>Vebr</t>
  </si>
  <si>
    <t>20-19-MP</t>
  </si>
  <si>
    <t>Horažďovice předměstí</t>
  </si>
  <si>
    <t>Janovice nad Úhlavou</t>
  </si>
  <si>
    <t>Nepomuk - Ždírec</t>
  </si>
  <si>
    <t>AH</t>
  </si>
  <si>
    <t>Nepomuk - Pačejov</t>
  </si>
  <si>
    <t>AH-ESA-04</t>
  </si>
  <si>
    <t>Veselý/Sitka</t>
  </si>
  <si>
    <t>2021/2020</t>
  </si>
  <si>
    <t>03-21-MP</t>
  </si>
  <si>
    <t>Plzeň-seř. n. ST.1 a St.14</t>
  </si>
  <si>
    <t>Staňkov + odb. Vránov</t>
  </si>
  <si>
    <t>(Staňkov) RZZ</t>
  </si>
  <si>
    <t xml:space="preserve"> (Staňkov) RŮ, HŮ</t>
  </si>
  <si>
    <t>06-21-MP</t>
  </si>
  <si>
    <t>Svojšín - Ošelín</t>
  </si>
  <si>
    <t>(07-10/04-11) ESA</t>
  </si>
  <si>
    <t>Ošelín - Pavlovice</t>
  </si>
  <si>
    <t>(09-10/04-11) ESA</t>
  </si>
  <si>
    <t>Pavlovice P1</t>
  </si>
  <si>
    <t>RÚ, HÚ, MTZ</t>
  </si>
  <si>
    <t>Píhrt//Prusík</t>
  </si>
  <si>
    <t>1985/2005</t>
  </si>
  <si>
    <t>21-21-MP</t>
  </si>
  <si>
    <t> 7.896</t>
  </si>
  <si>
    <t>30-21-MP</t>
  </si>
  <si>
    <t>55-21-MP</t>
  </si>
  <si>
    <t>P600 + P601</t>
  </si>
  <si>
    <t>Holoubkov - Kařízek</t>
  </si>
  <si>
    <t>"+ESA"</t>
  </si>
  <si>
    <t>Rokycany - Holoubkov</t>
  </si>
  <si>
    <t>54-21-MP</t>
  </si>
  <si>
    <t>26.251</t>
  </si>
  <si>
    <t>ADŽ</t>
  </si>
  <si>
    <t>57-21-MP</t>
  </si>
  <si>
    <t>(HÚ, MTZ)</t>
  </si>
  <si>
    <t>65-21-MP</t>
  </si>
  <si>
    <t>Plzeň Křimice</t>
  </si>
  <si>
    <t>P1218 + P1219</t>
  </si>
  <si>
    <t>7.447</t>
  </si>
  <si>
    <t>TOSHIBA RAS</t>
  </si>
  <si>
    <t>Příkosice-Nezvěstice</t>
  </si>
  <si>
    <t>AHP-03D</t>
  </si>
  <si>
    <t>kontejner K1</t>
  </si>
  <si>
    <t>kontejner K2</t>
  </si>
  <si>
    <t>Plzeň-Triangl - ÚS</t>
  </si>
  <si>
    <t>PL3</t>
  </si>
  <si>
    <t>PL4</t>
  </si>
  <si>
    <t>Plzeň-Triangl - PL2</t>
  </si>
  <si>
    <t>Z, T, P</t>
  </si>
  <si>
    <t>Kařízek - Zbiroh</t>
  </si>
  <si>
    <t>Zbiroh</t>
  </si>
  <si>
    <t>(Nákl.) ESA11</t>
  </si>
  <si>
    <t>Křimice - Kozolupy</t>
  </si>
  <si>
    <t>ESA11</t>
  </si>
  <si>
    <t>52-09-MP</t>
  </si>
  <si>
    <t>Milíkov - Svojšín</t>
  </si>
  <si>
    <t>Kozolupy - Pňovany</t>
  </si>
  <si>
    <t>Pňovany - Vranov u Stříbra</t>
  </si>
  <si>
    <t>Vranov u Stříbra - Stříbro</t>
  </si>
  <si>
    <t>Velké Hydčice - Žichovice</t>
  </si>
  <si>
    <t>Vranov  V1</t>
  </si>
  <si>
    <t>Vranov u Stříbra</t>
  </si>
  <si>
    <t>R3/79</t>
  </si>
  <si>
    <t>45-23-MP</t>
  </si>
  <si>
    <t>HÚ</t>
  </si>
  <si>
    <t>47-23-MP</t>
  </si>
  <si>
    <t>Plzeň hl.n. - Ejpovice</t>
  </si>
  <si>
    <t>(tunel) ABE-1</t>
  </si>
  <si>
    <t>Zjistit</t>
  </si>
  <si>
    <t>Domažlice+Pasečnice</t>
  </si>
  <si>
    <t>Dom.-RZZ + č.vol.</t>
  </si>
  <si>
    <t>Pasečnice (St.3)</t>
  </si>
  <si>
    <t>Horažďovice město</t>
  </si>
  <si>
    <t>St.1, DK</t>
  </si>
  <si>
    <t>TEST</t>
  </si>
  <si>
    <t>09-24-MP</t>
  </si>
  <si>
    <t>Blovice - Nezvěstice</t>
  </si>
  <si>
    <t>AH-88A</t>
  </si>
  <si>
    <t>Ždírec - Blovice</t>
  </si>
  <si>
    <t>RŮ, HŮ</t>
  </si>
  <si>
    <t>13-24-MP</t>
  </si>
  <si>
    <t>16-24-MP</t>
  </si>
  <si>
    <t>Starý Plzenec</t>
  </si>
  <si>
    <t>HŮ</t>
  </si>
  <si>
    <t>25-24-MP</t>
  </si>
  <si>
    <t>Nezvěstice - Starý Plzenec</t>
  </si>
  <si>
    <t>AH-83</t>
  </si>
  <si>
    <t>35-24-MP</t>
  </si>
  <si>
    <t>Brod nad Tichou</t>
  </si>
  <si>
    <t>Brod n.Tichou - Planá u M.L.</t>
  </si>
  <si>
    <t>HÚ, RÚ, TZ</t>
  </si>
  <si>
    <t>2005/2008</t>
  </si>
  <si>
    <t>45-19-MP</t>
  </si>
  <si>
    <t>Planá u Mar .Lázní</t>
  </si>
  <si>
    <t>JOP Klatovy</t>
  </si>
  <si>
    <t>DOZ</t>
  </si>
  <si>
    <t>Chlumčany u Dobřan</t>
  </si>
  <si>
    <t>Hořovice - Zbiroh</t>
  </si>
  <si>
    <t>(Cerhovice) "+ESA"</t>
  </si>
  <si>
    <t>(odb.Vránov) RZZ</t>
  </si>
  <si>
    <t xml:space="preserve">57-24-JW </t>
  </si>
  <si>
    <t>68-24-JW</t>
  </si>
  <si>
    <t>67-24-JW</t>
  </si>
  <si>
    <t>19.061</t>
  </si>
  <si>
    <t>77-24-JW</t>
  </si>
  <si>
    <t>Nová VRZ</t>
  </si>
  <si>
    <t>P673</t>
  </si>
  <si>
    <t>69-24-JW</t>
  </si>
  <si>
    <t>71-24-JW</t>
  </si>
  <si>
    <t>Chodová Planá - Mar. Lázně</t>
  </si>
  <si>
    <t>70-24-JW</t>
  </si>
  <si>
    <t>76-24-JW</t>
  </si>
  <si>
    <t>Planá u M.L. - Chodová Planá</t>
  </si>
  <si>
    <t>(07-09/12-09) ESA</t>
  </si>
  <si>
    <t>72-24-JW</t>
  </si>
  <si>
    <t>Plzeň Valcha</t>
  </si>
  <si>
    <t>78-24-JW</t>
  </si>
  <si>
    <t>79-24-JW</t>
  </si>
  <si>
    <t>P463</t>
  </si>
  <si>
    <t>73-24-JW</t>
  </si>
  <si>
    <t>75-24-JW</t>
  </si>
  <si>
    <t>74-24-JW</t>
  </si>
  <si>
    <t>Wimmer</t>
  </si>
  <si>
    <t>80-24-JW</t>
  </si>
  <si>
    <t>81-24-JW</t>
  </si>
  <si>
    <t>84-24-JW</t>
  </si>
  <si>
    <t>Švihov u Klatov</t>
  </si>
  <si>
    <t>83-24-JW</t>
  </si>
  <si>
    <t>85-24-JW</t>
  </si>
  <si>
    <t>86-24-JW</t>
  </si>
  <si>
    <t>95-24-JW</t>
  </si>
  <si>
    <t>ŘSt + St1</t>
  </si>
  <si>
    <t>93-24-JW</t>
  </si>
  <si>
    <t>94-24-JW</t>
  </si>
  <si>
    <t>Koterov - Starý Plzenec</t>
  </si>
  <si>
    <t>89-24-JW</t>
  </si>
  <si>
    <t>87-24-JW</t>
  </si>
  <si>
    <t>88-24-JW</t>
  </si>
  <si>
    <t>Rokycany - Ejpovice</t>
  </si>
  <si>
    <t>90-24-JW</t>
  </si>
  <si>
    <t>91-24-JW</t>
  </si>
  <si>
    <t>92-24-JW</t>
  </si>
  <si>
    <t>99-24-JW</t>
  </si>
  <si>
    <t>97-24-JW</t>
  </si>
  <si>
    <t>98-24-JW</t>
  </si>
  <si>
    <t>96-24-JW</t>
  </si>
  <si>
    <t>100-24-JW</t>
  </si>
  <si>
    <t>40-19-MP</t>
  </si>
  <si>
    <t>RÚ, HÚ, TZ</t>
  </si>
  <si>
    <t>KK/Prusík</t>
  </si>
  <si>
    <t>2004/2009</t>
  </si>
  <si>
    <t>23-14-MP</t>
  </si>
  <si>
    <t>Baroch</t>
  </si>
  <si>
    <t>03-08-MP</t>
  </si>
  <si>
    <t>05-08-MP</t>
  </si>
  <si>
    <t>09-08-MP</t>
  </si>
  <si>
    <t>RÚ, HÚ</t>
  </si>
  <si>
    <t>52-08-MP</t>
  </si>
  <si>
    <t>RÚ, MTZ, DZ</t>
  </si>
  <si>
    <t>41-09-MP</t>
  </si>
  <si>
    <t>13-11-MP</t>
  </si>
  <si>
    <t>Nákladiště Zbiroh</t>
  </si>
  <si>
    <t>39-11-MP</t>
  </si>
  <si>
    <t>14-13-MP</t>
  </si>
  <si>
    <t>HÚ, MTZ10</t>
  </si>
  <si>
    <t>97/03/08</t>
  </si>
  <si>
    <t>05-14-MP</t>
  </si>
  <si>
    <t>17-17-MP</t>
  </si>
  <si>
    <t>(RÚ, HÚ, DZ)</t>
  </si>
  <si>
    <t>82-14-MP</t>
  </si>
  <si>
    <t>Plzeň-PPV - ÚS</t>
  </si>
  <si>
    <t>poh.výpr</t>
  </si>
  <si>
    <t>s Trinaglem</t>
  </si>
  <si>
    <t>-</t>
  </si>
  <si>
    <t>Číslo PZ</t>
  </si>
  <si>
    <t>Datum UTZ</t>
  </si>
  <si>
    <t>Násl.UTZ</t>
  </si>
  <si>
    <t>Kapic Jiří</t>
  </si>
  <si>
    <t>Zemek Lukáš</t>
  </si>
  <si>
    <t>Štětka Jaroslav</t>
  </si>
  <si>
    <t>Vohrna Stanislav</t>
  </si>
  <si>
    <t>Šobr Daniel or K</t>
  </si>
  <si>
    <t>Kuželka Antonín</t>
  </si>
  <si>
    <t>Plzák Otakar</t>
  </si>
  <si>
    <t>Chmelař David</t>
  </si>
  <si>
    <t>Rollinger Luděk</t>
  </si>
  <si>
    <t>Král Jaroslav</t>
  </si>
  <si>
    <t>Krejčí Pavel</t>
  </si>
  <si>
    <t>Braun Petr</t>
  </si>
  <si>
    <t>PZ 4891/97-E.49(+92)</t>
  </si>
  <si>
    <t>Cvalín Bohumil</t>
  </si>
  <si>
    <t>Sika Jan</t>
  </si>
  <si>
    <t>Čermák Pavel</t>
  </si>
  <si>
    <t>PZ 10292/96-E.49</t>
  </si>
  <si>
    <t>PZ 10332/96-E.49</t>
  </si>
  <si>
    <t>PZ 10333/96-E.49</t>
  </si>
  <si>
    <t>Krutina Zbyněk</t>
  </si>
  <si>
    <t>PZ 2117/05-E.49</t>
  </si>
  <si>
    <t>Mašek Jaroslav</t>
  </si>
  <si>
    <t>Blahník Jiří</t>
  </si>
  <si>
    <t>PZ 1710/20-E.49</t>
  </si>
  <si>
    <t>Němec David</t>
  </si>
  <si>
    <t>PZ 1712/20-E.49</t>
  </si>
  <si>
    <t>Mašek Petr</t>
  </si>
  <si>
    <t>Stehlík Ondřej</t>
  </si>
  <si>
    <t>Diviš Zdeněk</t>
  </si>
  <si>
    <t>PZ 10334/96-E.49</t>
  </si>
  <si>
    <t>PZ 10335/96-E.49</t>
  </si>
  <si>
    <t>PZ 2975/15-E.49</t>
  </si>
  <si>
    <t>Hájek Martin</t>
  </si>
  <si>
    <t>PZ 2977/15-E.49</t>
  </si>
  <si>
    <t>PZ 2974/15-E.49</t>
  </si>
  <si>
    <t>PZ 2976/15-E.49</t>
  </si>
  <si>
    <t>Kouba Vojtěch</t>
  </si>
  <si>
    <t>Růt Karel</t>
  </si>
  <si>
    <t>Valach Karel</t>
  </si>
  <si>
    <t>PZ 0786/22-E.49</t>
  </si>
  <si>
    <t>PZ 0788/21-E.49</t>
  </si>
  <si>
    <t>Salamánek Martin</t>
  </si>
  <si>
    <t>Jandečka Martin</t>
  </si>
  <si>
    <t>PZ 12063/96-E.49</t>
  </si>
  <si>
    <t>Bláha Jiří</t>
  </si>
  <si>
    <t>PZ 0565/06-E.49</t>
  </si>
  <si>
    <t>Leško Rostislav</t>
  </si>
  <si>
    <t>Rajčáni Jan</t>
  </si>
  <si>
    <t>PZ 10327/96-E.49</t>
  </si>
  <si>
    <t>Šimek Jindřich</t>
  </si>
  <si>
    <t>PZ 1918/06-E.49</t>
  </si>
  <si>
    <t xml:space="preserve">Koubík Miroslav </t>
  </si>
  <si>
    <t>PZ 1919/06-E.49</t>
  </si>
  <si>
    <t>Šmíd Pavel</t>
  </si>
  <si>
    <t>PZ 10322/96-E.49</t>
  </si>
  <si>
    <t>PZ 10328/96-E.49</t>
  </si>
  <si>
    <t>PZ 10329/96-E.49</t>
  </si>
  <si>
    <t>PZ 10330/96-E.49</t>
  </si>
  <si>
    <t>PZ 10331/96-E.49</t>
  </si>
  <si>
    <t>Kratochvíl Martin</t>
  </si>
  <si>
    <t>Nekola J or T</t>
  </si>
  <si>
    <t>PZ 12065/96-E.49</t>
  </si>
  <si>
    <t>PZ 12067/96-E.49</t>
  </si>
  <si>
    <t>PZ 12069/96-E.49</t>
  </si>
  <si>
    <t>PZ 12070/96-E.49</t>
  </si>
  <si>
    <t>PZ 12071/96-E.49</t>
  </si>
  <si>
    <t>PZ 2001/16-E.49</t>
  </si>
  <si>
    <t>PZ 2002/16-E.49</t>
  </si>
  <si>
    <t>PZ 2003/16-E.49</t>
  </si>
  <si>
    <t>PZ 3170/04-E.49</t>
  </si>
  <si>
    <t>PZ 2008/16-E.49</t>
  </si>
  <si>
    <t>PZ 2009/16-E.49</t>
  </si>
  <si>
    <t>PZ 2010/16-E.49</t>
  </si>
  <si>
    <t>PZ 2011/16-E.49</t>
  </si>
  <si>
    <t>PZ 2012/16-E.49</t>
  </si>
  <si>
    <t>PZ 2013/16-E.49</t>
  </si>
  <si>
    <t>PZ 2014/16-E.49</t>
  </si>
  <si>
    <t>PZ 2015/16-E.49</t>
  </si>
  <si>
    <t>PZ 2016/16-E.49</t>
  </si>
  <si>
    <t>PZ 2017/16-E.49</t>
  </si>
  <si>
    <t>PZ 2018/16-E.49</t>
  </si>
  <si>
    <t>PZ 2019/16-E.49</t>
  </si>
  <si>
    <t>PZ 2020/16-E.49</t>
  </si>
  <si>
    <t>PZ 1999/16-E.49</t>
  </si>
  <si>
    <t>PZ 0745/21-E.49</t>
  </si>
  <si>
    <t>PZ 1437/21-E.49</t>
  </si>
  <si>
    <t>PZ 0767/21-E.49</t>
  </si>
  <si>
    <t>PZ 0723/17-E.49</t>
  </si>
  <si>
    <t>PZ 0724/17-E.49</t>
  </si>
  <si>
    <t>Koutek Jiří</t>
  </si>
  <si>
    <t>PZ 0725/17-E.49</t>
  </si>
  <si>
    <t>PZ 0888/07-E.49</t>
  </si>
  <si>
    <t>PZ 0889/07-E.49</t>
  </si>
  <si>
    <t>PZ 0890/07-E.49</t>
  </si>
  <si>
    <t>PZ 10323/96-E.49</t>
  </si>
  <si>
    <t>PZ 2832/02-E.49</t>
  </si>
  <si>
    <t>PZ 747/12-E.49</t>
  </si>
  <si>
    <t>PZ 748/12-E.49</t>
  </si>
  <si>
    <t>PZ 1447/07-E.49</t>
  </si>
  <si>
    <t>PZ 1448/07-E.49</t>
  </si>
  <si>
    <t>PZ 0983/22-E.49</t>
  </si>
  <si>
    <t>Houlík Jiří</t>
  </si>
  <si>
    <t>PZ 0984/22-E.49</t>
  </si>
  <si>
    <t>PZ 2841/02-E.49</t>
  </si>
  <si>
    <t>PZ 0800/13-E.49</t>
  </si>
  <si>
    <t>PZ 1911/07-E.49</t>
  </si>
  <si>
    <t>PZ 1712/17-E.49</t>
  </si>
  <si>
    <t>PZ 1713/17-E.49</t>
  </si>
  <si>
    <t>Šála Zdeněk</t>
  </si>
  <si>
    <t>PZ 10160/ 96-E.49</t>
  </si>
  <si>
    <t>PZ 1778/23-E.49</t>
  </si>
  <si>
    <t>PZ 0469/13-E.49</t>
  </si>
  <si>
    <t>PZ 10305/96-E.49</t>
  </si>
  <si>
    <t>PZ 0499/13-E.49</t>
  </si>
  <si>
    <t>PZ 0914/23-E.49</t>
  </si>
  <si>
    <t>PZ 12022/96-E.49</t>
  </si>
  <si>
    <t>PZ 10150/96-E.49</t>
  </si>
  <si>
    <t>PZ 12090/96-E.49</t>
  </si>
  <si>
    <t>Dub Stanislav</t>
  </si>
  <si>
    <t>PZ 0968/08-E.49</t>
  </si>
  <si>
    <t>PZ 12072/96-E.49</t>
  </si>
  <si>
    <t>PZ 12073/96-E.49</t>
  </si>
  <si>
    <t>PZ 0952/23-E.49</t>
  </si>
  <si>
    <t>PZ 0954/23-E-49</t>
  </si>
  <si>
    <t>PZ 0951/23-E.49</t>
  </si>
  <si>
    <t>PZ 0955/23-E.49</t>
  </si>
  <si>
    <t>PZ 3169/04-E.49</t>
  </si>
  <si>
    <t>PZ 3168/04-E.49</t>
  </si>
  <si>
    <t>PZ 10339/96-E.49</t>
  </si>
  <si>
    <t>PZ 0992/23-E.49</t>
  </si>
  <si>
    <t>Capík Martin</t>
  </si>
  <si>
    <t>PZ 0708/20-E.49</t>
  </si>
  <si>
    <t>PZ 10336/96-E.49</t>
  </si>
  <si>
    <t>PZ 10337/96-E.49</t>
  </si>
  <si>
    <t>PZ 10338/96-E.49</t>
  </si>
  <si>
    <t>Bystřický Václav</t>
  </si>
  <si>
    <t>PZ 12060/96-E.49</t>
  </si>
  <si>
    <t>PZ 12061/96-E.49</t>
  </si>
  <si>
    <t>PZ 12062/96-E.49</t>
  </si>
  <si>
    <t>PZ 0908/24-E.49</t>
  </si>
  <si>
    <t>PZ 0909/24-E.49</t>
  </si>
  <si>
    <t>PZ 0910/24-E.49</t>
  </si>
  <si>
    <t>PZ 0736/24-E.49</t>
  </si>
  <si>
    <t>PZ 0913/24-E.49</t>
  </si>
  <si>
    <t>PZ 0766/19-E.49</t>
  </si>
  <si>
    <t>Jäger Michaela</t>
  </si>
  <si>
    <t>PZ 10325/96-E.49</t>
  </si>
  <si>
    <t>PZ 10326/96-E.49</t>
  </si>
  <si>
    <t>PZ 10177/96-E.49</t>
  </si>
  <si>
    <t>PZ 1744/24-E.48</t>
  </si>
  <si>
    <t>PZ 1839/19-E.49</t>
  </si>
  <si>
    <t>PZ 1848/19-E.59</t>
  </si>
  <si>
    <t>PZ 1403/19-E.49</t>
  </si>
  <si>
    <t>PZ 1404/19-E.49</t>
  </si>
  <si>
    <t>PZ 0951/24-E.49</t>
  </si>
  <si>
    <t>PZ 10179/96-E.49</t>
  </si>
  <si>
    <t>Janovec Václav</t>
  </si>
  <si>
    <t>PZ 12085/96-E.49</t>
  </si>
  <si>
    <t>Ulč Vladimír</t>
  </si>
  <si>
    <t>\\OR00000PLZNT011\SSZT_PLZ-Interní\DOKLADY_K_ZAŘÍZENÍ\Protokoly_k_zařízení\709B_Horažďovice_př.-Plzeň\žst. Nezvěstice</t>
  </si>
  <si>
    <t>\\OR00000PLZNT011\SSZT_PLZ-Interní\DOKLADY_K_ZAŘÍZENÍ\Protokoly_k_zařízení\711_Plzeň-Ž.Ruda\PZS km 22,856</t>
  </si>
  <si>
    <t>\\OR00000PLZNT011\SSZT_PLZ-Interní\DOKLADY_K_ZAŘÍZENÍ\Protokoly_k_zařízení\711_Plzeň-Ž.Ruda\PZS km 23,468</t>
  </si>
  <si>
    <t>\\OR00000PLZNT011\SSZT_PLZ-Interní\DOKLADY_K_ZAŘÍZENÍ\Protokoly_k_zařízení\709B_Horažďovice_př.-Plzeň\žst. Pačejov</t>
  </si>
  <si>
    <t>\\OR00000PLZNT011\SSZT_PLZ-Interní\DOKLADY_K_ZAŘÍZENÍ\Protokoly_k_zařízení\709B_Horažďovice_př.-Plzeň\žst. Horažďovice př</t>
  </si>
  <si>
    <t>\\OR00000PLZNT011\SSZT_PLZ-Interní\DOKLADY_K_ZAŘÍZENÍ\Protokoly_k_zařízení\711_Plzeň-Ž.Ruda\PZS km 41,112</t>
  </si>
  <si>
    <t>\\OR00000PLZNT011\SSZT_PLZ-Interní\DOKLADY_K_ZAŘÍZENÍ\Protokoly_k_zařízení\709B_Horažďovice_př.-Plzeň\TZZ Nepomuk - Ždírec</t>
  </si>
  <si>
    <t>\\OR00000PLZNT011\SSZT_PLZ-Interní\DOKLADY_K_ZAŘÍZENÍ\Protokoly_k_zařízení\709B_Horažďovice_př.-Plzeň\TZZ Nepomuk - Pačejov</t>
  </si>
  <si>
    <t>\\OR00000PLZNT011\SSZT_PLZ-Interní\DOKLADY_K_ZAŘÍZENÍ\Protokoly_k_zařízení\Uzel_Plzeň\Plzeň seř.n</t>
  </si>
  <si>
    <t>\\OR00000PLZNT011\SSZT_PLZ-Interní\DOKLADY_K_ZAŘÍZENÍ\Protokoly_k_zařízení\720_Plzeň-Cheb\PZS km 403,919</t>
  </si>
  <si>
    <t>\\OR00000PLZNT011\SSZT_PLZ-Interní\DOKLADY_K_ZAŘÍZENÍ\Protokoly_k_zařízení\713A_Plzeň-Zbiroh\TZZ Kařízek-Holoubkov</t>
  </si>
  <si>
    <t>\\OR00000PLZNT011\SSZT_PLZ-Interní\DOKLADY_K_ZAŘÍZENÍ\Protokoly_k_zařízení\714A_Rokycany-Nezvěstice\Rokycany-Mirošov\PZS_km_5,411 P1220</t>
  </si>
  <si>
    <t>\\OR00000PLZNT011\SSZT_PLZ-Interní\DOKLADY_K_ZAŘÍZENÍ\Protokoly_k_zařízení\714A_Rokycany-Nezvěstice\Rokycany-Mirošov\PZS_km_6,262 P1221</t>
  </si>
  <si>
    <t>\\OR00000PLZNT011\SSZT_PLZ-Interní\DOKLADY_K_ZAŘÍZENÍ\Protokoly_k_zařízení\714A_Rokycany-Nezvěstice\Rokycany-Mirošov\PZS_km_6,897 P1222</t>
  </si>
  <si>
    <t>\\OR00000PLZNT011\SSZT_PLZ-Interní\DOKLADY_K_ZAŘÍZENÍ\Protokoly_k_zařízení\714A_Rokycany-Nezvěstice\Rokycany-Mirošov\PZS_km_7,100 P1223</t>
  </si>
  <si>
    <t>\\OR00000PLZNT011\SSZT_PLZ-Interní\DOKLADY_K_ZAŘÍZENÍ\Protokoly_k_zařízení\714A_Rokycany-Nezvěstice\Příkosice-Nezvěstice\TZZ Příkosice-Nezvěstice</t>
  </si>
  <si>
    <t>\\OR00000PLZNT011\SSZT_PLZ-Interní\DOKLADY_K_ZAŘÍZENÍ\Protokoly_k_zařízení\717C_Staňkov-Poběžovice\PZS km 8,853</t>
  </si>
  <si>
    <t>\\OR00000PLZNT011\SSZT_PLZ-Interní\DOKLADY_K_ZAŘÍZENÍ\Protokoly_k_zařízení\714A_Rokycany-Nezvěstice\Rokycany-Mirošov\PZS_km_0,348 (0,331)</t>
  </si>
  <si>
    <t>\\OR00000PLZNT011\SSZT_PLZ-Interní\DOKLADY_K_ZAŘÍZENÍ\Protokoly_k_zařízení\717B_Svojšín-Bor\PZS km 7,435</t>
  </si>
  <si>
    <t>\\OR00000PLZNT011\SSZT_PLZ-Interní\DOKLADY_K_ZAŘÍZENÍ\Protokoly_k_zařízení\717B_Svojšín-Bor\PZS km 12,020</t>
  </si>
  <si>
    <t>\\OR00000PLZNT011\SSZT_PLZ-Interní\DOKLADY_K_ZAŘÍZENÍ\Protokoly_k_zařízení\710A_Horažďovice-Klatovy\PZS km 19,278</t>
  </si>
  <si>
    <t>\\OR00000PLZNT011\SSZT_PLZ-Interní\DOKLADY_K_ZAŘÍZENÍ\Protokoly_k_zařízení\710A_Horažďovice-Klatovy\TZZ Velké Hydčice-Žichovice</t>
  </si>
  <si>
    <t>\\OR00000PLZNT011\SSZT_PLZ-Interní\DOKLADY_K_ZAŘÍZENÍ\Protokoly_k_zařízení\Uzel_Plzeň\Jižní Předměstí</t>
  </si>
  <si>
    <t>\\OR00000PLZNT011\SSZT_PLZ-Interní\DOKLADY_K_ZAŘÍZENÍ\Protokoly_k_zařízení\717C_Staňkov-Poběžovice\H.Týn</t>
  </si>
  <si>
    <t>\\OR00000PLZNT011\SSZT_PLZ-Interní\DOKLADY_K_ZAŘÍZENÍ\Protokoly_k_zařízení\712B_Nýřany-H.Huť\PZS km 9,426</t>
  </si>
  <si>
    <t>\\OR00000PLZNT011\SSZT_PLZ-Interní\DOKLADY_K_ZAŘÍZENÍ\Protokoly_k_zařízení\717C_Staňkov-Poběžovice\PZS km 10,231</t>
  </si>
  <si>
    <t>\\OR00000PLZNT011\SSZT_PLZ-Interní\DOKLADY_K_ZAŘÍZENÍ\Protokoly_k_zařízení\717A_Domažlice-Planá\žst. Bor</t>
  </si>
  <si>
    <t>\\OR00000PLZNT011\SSZT_PLZ-Interní\DOKLADY_K_ZAŘÍZENÍ\Protokoly_k_zařízení\712A_Vejprnice-Č.Kubice\žst. Pasečnice</t>
  </si>
  <si>
    <t>\\OR00000PLZNT011\SSZT_PLZ-Interní\DOKLADY_K_ZAŘÍZENÍ\Protokoly_k_zařízení\709B_Horažďovice_př.-Plzeň\žst. Blovice</t>
  </si>
  <si>
    <t>\\OR00000PLZNT011\SSZT_PLZ-Interní\DOKLADY_K_ZAŘÍZENÍ\Protokoly_k_zařízení\709B_Horažďovice_př.-Plzeň\TZZ Nezvěstice-Blovice</t>
  </si>
  <si>
    <t>\\OR00000PLZNT011\SSZT_PLZ-Interní\DOKLADY_K_ZAŘÍZENÍ\Protokoly_k_zařízení\709B_Horažďovice_př.-Plzeň\TZZ Blovice-Ždírec</t>
  </si>
  <si>
    <t>\\OR00000PLZNT011\SSZT_PLZ-Interní\DOKLADY_K_ZAŘÍZENÍ\Protokoly_k_zařízení\709B_Horažďovice_př.-Plzeň\žst. Starý Plzenec</t>
  </si>
  <si>
    <t>\\OR00000PLZNT011\SSZT_PLZ-Interní\DOKLADY_K_ZAŘÍZENÍ\Protokoly_k_zařízení\709B_Horažďovice_př.-Plzeň\TZZ Starý Plzenec-Nezvěstice</t>
  </si>
  <si>
    <t>\\OR00000PLZNT011\SSZT_PLZ-Interní\DOKLADY_K_ZAŘÍZENÍ\Protokoly_k_zařízení\709B_Horažďovice_př.-Plzeň\PZS km 338,774</t>
  </si>
  <si>
    <t>\\OR00000PLZNT011\SSZT_PLZ-Interní\DOKLADY_K_ZAŘÍZENÍ\Protokoly_k_zařízení\709B_Horažďovice_př.-Plzeň\PZS km 339,658</t>
  </si>
  <si>
    <t>\\OR00000PLZNT011\SSZT_PLZ-Interní\DOKLADY_K_ZAŘÍZENÍ\Protokoly_k_zařízení\712A_Vejprnice-Č.Kubice\žst. Staňkov\odb. Vránov</t>
  </si>
  <si>
    <t>\\OR00000PLZNT011\SSZT_PLZ-Interní\DOKLADY_K_ZAŘÍZENÍ\Protokoly_k_zařízení\Uzel_Plzeň\Nová Hospoda</t>
  </si>
  <si>
    <t>\\OR00000PLZNT011\SSZT_PLZ-Interní\DOKLADY_K_ZAŘÍZENÍ\Protokoly_k_zařízení\717C_Staňkov-Poběžovice\PZS km 8,288</t>
  </si>
  <si>
    <t>\\OR00000PLZNT011\SSZT_PLZ-Interní\DOKLADY_K_ZAŘÍZENÍ\Protokoly_k_zařízení\714B_Ejpovice-Radnice\Stupno</t>
  </si>
  <si>
    <t>\\OR00000PLZNT011\SSZT_PLZ-Interní\DOKLADY_K_ZAŘÍZENÍ\Protokoly_k_zařízení\709B_Horažďovice_př.-Plzeň\žst. Koterov</t>
  </si>
  <si>
    <t>\\OR00000PLZNT011\SSZT_PLZ-Interní\DOKLADY_K_ZAŘÍZENÍ\Protokoly_k_zařízení\709B_Horažďovice_př.-Plzeň\TZZ Koterov-St. Plzenec</t>
  </si>
  <si>
    <t>\\OR00000PLZNT011\SSZT_PLZ-Interní\DOKLADY_K_ZAŘÍZENÍ\Protokoly_k_zařízení\709B_Horažďovice_př.-Plzeň\žst. Ždírec u Plzně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</si>
</sst>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00"/>
    <numFmt numFmtId="165" formatCode="mm\-yy"/>
    <numFmt numFmtId="166" formatCode="000,000,000"/>
    <numFmt numFmtId="167" formatCode="m/yy"/>
    <numFmt numFmtId="168" formatCode="0.000&quot; + 320,121&quot;"/>
    <numFmt numFmtId="169" formatCode="0.000&quot; + 142,949&quot;"/>
    <numFmt numFmtId="170" formatCode="0.000&quot; + 143,786&quot;"/>
    <numFmt numFmtId="171" formatCode="0.000&quot; (304,090)&quot;"/>
    <numFmt numFmtId="172" formatCode="0.000&quot; + 11,242&quot;"/>
    <numFmt numFmtId="173" formatCode="0.000&quot; (8,583)&quot;"/>
    <numFmt numFmtId="174" formatCode="0.000&quot; (9,355)&quot;"/>
    <numFmt numFmtId="175" formatCode="0.000&quot; + 120,627&quot;"/>
    <numFmt numFmtId="176" formatCode="0.000&quot; + 5,204&quot;"/>
    <numFmt numFmtId="177" formatCode="0.000&quot; + P1219&quot;"/>
    <numFmt numFmtId="178" formatCode="0.000&quot; (0,331)&quot;"/>
    <numFmt numFmtId="179" formatCode="0.000&quot; (3,892)&quot;"/>
    <numFmt numFmtId="180" formatCode="0.000&quot; (0,242)&quot;"/>
    <numFmt numFmtId="181" formatCode="00&quot;Staňkov&quot;"/>
  </numFmts>
  <fonts count="25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9"/>
      <name val="Arial"/>
      <family val="2"/>
      <charset val="238"/>
    </font>
    <font>
      <b/>
      <sz val="9"/>
      <color indexed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color rgb="FFFF0000"/>
      <name val="Arial"/>
      <family val="2"/>
      <charset val="238"/>
    </font>
    <font>
      <sz val="9"/>
      <color rgb="FFFF0000"/>
      <name val="Arial"/>
      <family val="2"/>
      <charset val="238"/>
    </font>
    <font>
      <sz val="9"/>
      <color indexed="11"/>
      <name val="Arial"/>
      <family val="2"/>
      <charset val="238"/>
    </font>
    <font>
      <sz val="9"/>
      <color indexed="12"/>
      <name val="Arial"/>
      <family val="2"/>
      <charset val="238"/>
    </font>
    <font>
      <sz val="9"/>
      <color indexed="14"/>
      <name val="Arial"/>
      <family val="2"/>
      <charset val="238"/>
    </font>
    <font>
      <b/>
      <sz val="11"/>
      <color theme="1"/>
      <name val="Aptos Narrow"/>
      <family val="2"/>
      <scheme val="minor"/>
    </font>
    <font>
      <sz val="10"/>
      <color theme="1" tint="0.34998626667073579"/>
      <name val="Arial"/>
      <family val="2"/>
      <charset val="238"/>
    </font>
    <font>
      <sz val="10"/>
      <color theme="1"/>
      <name val="Arial"/>
      <family val="2"/>
      <charset val="238"/>
    </font>
    <font>
      <i/>
      <sz val="9"/>
      <color theme="5" tint="-0.249977111117893"/>
      <name val="Arial"/>
      <family val="2"/>
      <charset val="238"/>
    </font>
    <font>
      <i/>
      <sz val="10"/>
      <color theme="5" tint="-0.249977111117893"/>
      <name val="Arial"/>
      <family val="2"/>
      <charset val="238"/>
    </font>
    <font>
      <u/>
      <sz val="10"/>
      <color rgb="FF0070C0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theme="1"/>
      <name val="Verdana"/>
      <family val="2"/>
      <charset val="238"/>
    </font>
    <font>
      <u/>
      <sz val="10"/>
      <color theme="4" tint="-0.499984740745262"/>
      <name val="Arial"/>
      <family val="2"/>
      <charset val="238"/>
    </font>
    <font>
      <i/>
      <u/>
      <sz val="10"/>
      <color theme="5" tint="-0.249977111117893"/>
      <name val="Arial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72"/>
      </patternFill>
    </fill>
    <fill>
      <patternFill patternType="solid">
        <fgColor rgb="FF92D050"/>
        <bgColor indexed="7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72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4"/>
        <bgColor indexed="7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72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8" fillId="0" borderId="0"/>
    <xf numFmtId="0" fontId="22" fillId="0" borderId="0"/>
    <xf numFmtId="0" fontId="22" fillId="0" borderId="0"/>
  </cellStyleXfs>
  <cellXfs count="30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quotePrefix="1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165" fontId="5" fillId="2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4" fillId="0" borderId="2" xfId="0" applyNumberFormat="1" applyFont="1" applyBorder="1" applyAlignment="1">
      <alignment horizontal="left"/>
    </xf>
    <xf numFmtId="0" fontId="6" fillId="0" borderId="9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13" fillId="5" borderId="10" xfId="2" quotePrefix="1" applyFont="1" applyFill="1" applyBorder="1" applyAlignment="1">
      <alignment horizontal="center"/>
    </xf>
    <xf numFmtId="0" fontId="1" fillId="5" borderId="4" xfId="1" quotePrefix="1" applyFill="1" applyBorder="1"/>
    <xf numFmtId="0" fontId="8" fillId="5" borderId="10" xfId="2" quotePrefix="1" applyFill="1" applyBorder="1" applyAlignment="1">
      <alignment horizontal="left"/>
    </xf>
    <xf numFmtId="164" fontId="8" fillId="5" borderId="10" xfId="2" applyNumberFormat="1" applyFill="1" applyBorder="1" applyAlignment="1">
      <alignment horizontal="right"/>
    </xf>
    <xf numFmtId="0" fontId="9" fillId="5" borderId="10" xfId="2" applyFont="1" applyFill="1" applyBorder="1" applyAlignment="1">
      <alignment horizontal="center"/>
    </xf>
    <xf numFmtId="165" fontId="9" fillId="5" borderId="10" xfId="2" applyNumberFormat="1" applyFont="1" applyFill="1" applyBorder="1" applyAlignment="1">
      <alignment horizontal="center"/>
    </xf>
    <xf numFmtId="165" fontId="9" fillId="5" borderId="10" xfId="2" applyNumberFormat="1" applyFont="1" applyFill="1" applyBorder="1" applyAlignment="1">
      <alignment horizontal="center" vertical="center"/>
    </xf>
    <xf numFmtId="0" fontId="8" fillId="5" borderId="10" xfId="2" applyFill="1" applyBorder="1" applyAlignment="1">
      <alignment horizontal="center" vertical="center"/>
    </xf>
    <xf numFmtId="14" fontId="8" fillId="5" borderId="10" xfId="2" applyNumberFormat="1" applyFill="1" applyBorder="1"/>
    <xf numFmtId="0" fontId="13" fillId="3" borderId="4" xfId="2" applyFont="1" applyFill="1" applyBorder="1" applyAlignment="1">
      <alignment horizontal="center" vertical="center"/>
    </xf>
    <xf numFmtId="0" fontId="1" fillId="3" borderId="4" xfId="1" applyFill="1" applyBorder="1"/>
    <xf numFmtId="0" fontId="8" fillId="3" borderId="4" xfId="2" quotePrefix="1" applyFill="1" applyBorder="1" applyAlignment="1">
      <alignment horizontal="left" vertical="center"/>
    </xf>
    <xf numFmtId="164" fontId="8" fillId="3" borderId="4" xfId="2" applyNumberFormat="1" applyFill="1" applyBorder="1" applyAlignment="1">
      <alignment horizontal="right" vertical="center"/>
    </xf>
    <xf numFmtId="0" fontId="8" fillId="3" borderId="4" xfId="2" applyFill="1" applyBorder="1" applyAlignment="1">
      <alignment horizontal="center" vertical="center"/>
    </xf>
    <xf numFmtId="165" fontId="9" fillId="3" borderId="4" xfId="2" applyNumberFormat="1" applyFont="1" applyFill="1" applyBorder="1" applyAlignment="1">
      <alignment horizontal="center" vertical="center"/>
    </xf>
    <xf numFmtId="14" fontId="8" fillId="3" borderId="4" xfId="2" applyNumberFormat="1" applyFill="1" applyBorder="1"/>
    <xf numFmtId="0" fontId="1" fillId="3" borderId="4" xfId="1" quotePrefix="1" applyFill="1" applyBorder="1"/>
    <xf numFmtId="0" fontId="13" fillId="5" borderId="4" xfId="2" applyFont="1" applyFill="1" applyBorder="1" applyAlignment="1">
      <alignment horizontal="center" vertical="center"/>
    </xf>
    <xf numFmtId="0" fontId="1" fillId="5" borderId="4" xfId="1" applyFill="1" applyBorder="1"/>
    <xf numFmtId="0" fontId="8" fillId="5" borderId="4" xfId="2" quotePrefix="1" applyFill="1" applyBorder="1" applyAlignment="1">
      <alignment horizontal="left" vertical="center"/>
    </xf>
    <xf numFmtId="168" fontId="8" fillId="5" borderId="4" xfId="2" quotePrefix="1" applyNumberFormat="1" applyFill="1" applyBorder="1" applyAlignment="1">
      <alignment horizontal="right" vertical="center"/>
    </xf>
    <xf numFmtId="164" fontId="8" fillId="5" borderId="4" xfId="2" quotePrefix="1" applyNumberFormat="1" applyFill="1" applyBorder="1" applyAlignment="1">
      <alignment horizontal="right" vertical="center"/>
    </xf>
    <xf numFmtId="0" fontId="8" fillId="12" borderId="4" xfId="2" applyFill="1" applyBorder="1" applyAlignment="1">
      <alignment horizontal="center" vertical="center"/>
    </xf>
    <xf numFmtId="165" fontId="9" fillId="5" borderId="4" xfId="2" applyNumberFormat="1" applyFont="1" applyFill="1" applyBorder="1" applyAlignment="1">
      <alignment horizontal="center" vertical="center"/>
    </xf>
    <xf numFmtId="0" fontId="9" fillId="5" borderId="4" xfId="2" applyFont="1" applyFill="1" applyBorder="1" applyAlignment="1">
      <alignment horizontal="center"/>
    </xf>
    <xf numFmtId="14" fontId="8" fillId="5" borderId="4" xfId="2" applyNumberFormat="1" applyFill="1" applyBorder="1"/>
    <xf numFmtId="0" fontId="7" fillId="5" borderId="4" xfId="2" applyFont="1" applyFill="1" applyBorder="1" applyAlignment="1">
      <alignment horizontal="center"/>
    </xf>
    <xf numFmtId="167" fontId="8" fillId="5" borderId="4" xfId="2" quotePrefix="1" applyNumberFormat="1" applyFill="1" applyBorder="1" applyAlignment="1">
      <alignment horizontal="left" vertical="justify"/>
    </xf>
    <xf numFmtId="164" fontId="16" fillId="5" borderId="4" xfId="2" applyNumberFormat="1" applyFont="1" applyFill="1" applyBorder="1" applyAlignment="1">
      <alignment horizontal="right" vertical="justify"/>
    </xf>
    <xf numFmtId="164" fontId="8" fillId="5" borderId="4" xfId="2" applyNumberFormat="1" applyFill="1" applyBorder="1" applyAlignment="1">
      <alignment horizontal="right" vertical="justify"/>
    </xf>
    <xf numFmtId="0" fontId="8" fillId="5" borderId="4" xfId="2" applyFill="1" applyBorder="1" applyAlignment="1">
      <alignment horizontal="center" vertical="justify"/>
    </xf>
    <xf numFmtId="165" fontId="9" fillId="5" borderId="4" xfId="2" applyNumberFormat="1" applyFont="1" applyFill="1" applyBorder="1" applyAlignment="1">
      <alignment horizontal="center" vertical="justify"/>
    </xf>
    <xf numFmtId="165" fontId="9" fillId="5" borderId="4" xfId="2" applyNumberFormat="1" applyFont="1" applyFill="1" applyBorder="1" applyAlignment="1">
      <alignment horizontal="center"/>
    </xf>
    <xf numFmtId="0" fontId="13" fillId="3" borderId="4" xfId="2" quotePrefix="1" applyFont="1" applyFill="1" applyBorder="1" applyAlignment="1">
      <alignment horizontal="center"/>
    </xf>
    <xf numFmtId="0" fontId="8" fillId="3" borderId="4" xfId="2" quotePrefix="1" applyFill="1" applyBorder="1" applyAlignment="1">
      <alignment horizontal="left"/>
    </xf>
    <xf numFmtId="164" fontId="8" fillId="3" borderId="4" xfId="2" applyNumberFormat="1" applyFill="1" applyBorder="1" applyAlignment="1">
      <alignment horizontal="right"/>
    </xf>
    <xf numFmtId="0" fontId="8" fillId="3" borderId="4" xfId="2" applyFill="1" applyBorder="1" applyAlignment="1">
      <alignment horizontal="center"/>
    </xf>
    <xf numFmtId="165" fontId="9" fillId="3" borderId="4" xfId="2" applyNumberFormat="1" applyFont="1" applyFill="1" applyBorder="1" applyAlignment="1">
      <alignment horizontal="center"/>
    </xf>
    <xf numFmtId="167" fontId="14" fillId="3" borderId="4" xfId="2" quotePrefix="1" applyNumberFormat="1" applyFont="1" applyFill="1" applyBorder="1" applyAlignment="1">
      <alignment horizontal="center" vertical="justify"/>
    </xf>
    <xf numFmtId="0" fontId="8" fillId="3" borderId="4" xfId="2" applyFill="1" applyBorder="1" applyAlignment="1">
      <alignment horizontal="left"/>
    </xf>
    <xf numFmtId="0" fontId="9" fillId="12" borderId="4" xfId="2" applyFont="1" applyFill="1" applyBorder="1" applyAlignment="1">
      <alignment horizontal="center"/>
    </xf>
    <xf numFmtId="0" fontId="7" fillId="3" borderId="4" xfId="2" quotePrefix="1" applyFont="1" applyFill="1" applyBorder="1" applyAlignment="1">
      <alignment horizontal="center"/>
    </xf>
    <xf numFmtId="164" fontId="16" fillId="3" borderId="4" xfId="2" applyNumberFormat="1" applyFont="1" applyFill="1" applyBorder="1" applyAlignment="1">
      <alignment horizontal="right"/>
    </xf>
    <xf numFmtId="165" fontId="8" fillId="3" borderId="4" xfId="2" applyNumberForma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/>
    </xf>
    <xf numFmtId="0" fontId="7" fillId="10" borderId="4" xfId="2" applyFont="1" applyFill="1" applyBorder="1" applyAlignment="1">
      <alignment horizontal="center"/>
    </xf>
    <xf numFmtId="0" fontId="1" fillId="10" borderId="4" xfId="1" applyFill="1" applyBorder="1"/>
    <xf numFmtId="0" fontId="8" fillId="10" borderId="4" xfId="2" quotePrefix="1" applyFill="1" applyBorder="1" applyAlignment="1">
      <alignment horizontal="left"/>
    </xf>
    <xf numFmtId="164" fontId="16" fillId="10" borderId="4" xfId="2" applyNumberFormat="1" applyFont="1" applyFill="1" applyBorder="1" applyAlignment="1">
      <alignment horizontal="right"/>
    </xf>
    <xf numFmtId="164" fontId="8" fillId="10" borderId="4" xfId="2" applyNumberFormat="1" applyFill="1" applyBorder="1" applyAlignment="1">
      <alignment horizontal="right"/>
    </xf>
    <xf numFmtId="0" fontId="8" fillId="10" borderId="4" xfId="2" applyFill="1" applyBorder="1" applyAlignment="1">
      <alignment horizontal="center"/>
    </xf>
    <xf numFmtId="165" fontId="8" fillId="10" borderId="4" xfId="2" applyNumberFormat="1" applyFill="1" applyBorder="1" applyAlignment="1">
      <alignment horizontal="center" vertical="center"/>
    </xf>
    <xf numFmtId="165" fontId="9" fillId="10" borderId="4" xfId="2" applyNumberFormat="1" applyFont="1" applyFill="1" applyBorder="1" applyAlignment="1">
      <alignment horizontal="center"/>
    </xf>
    <xf numFmtId="0" fontId="8" fillId="10" borderId="4" xfId="2" applyFill="1" applyBorder="1" applyAlignment="1">
      <alignment horizontal="center" vertical="center"/>
    </xf>
    <xf numFmtId="165" fontId="9" fillId="10" borderId="4" xfId="2" applyNumberFormat="1" applyFont="1" applyFill="1" applyBorder="1" applyAlignment="1">
      <alignment horizontal="center" vertical="center"/>
    </xf>
    <xf numFmtId="14" fontId="8" fillId="10" borderId="4" xfId="2" applyNumberFormat="1" applyFill="1" applyBorder="1"/>
    <xf numFmtId="0" fontId="12" fillId="3" borderId="4" xfId="2" quotePrefix="1" applyFont="1" applyFill="1" applyBorder="1" applyAlignment="1">
      <alignment horizontal="center" vertical="center"/>
    </xf>
    <xf numFmtId="164" fontId="16" fillId="3" borderId="4" xfId="2" applyNumberFormat="1" applyFont="1" applyFill="1" applyBorder="1" applyAlignment="1">
      <alignment horizontal="right" vertical="center"/>
    </xf>
    <xf numFmtId="0" fontId="9" fillId="10" borderId="4" xfId="2" applyFont="1" applyFill="1" applyBorder="1" applyAlignment="1">
      <alignment horizontal="center" vertical="center"/>
    </xf>
    <xf numFmtId="0" fontId="13" fillId="5" borderId="4" xfId="2" quotePrefix="1" applyFont="1" applyFill="1" applyBorder="1" applyAlignment="1">
      <alignment horizontal="center"/>
    </xf>
    <xf numFmtId="0" fontId="8" fillId="5" borderId="4" xfId="2" quotePrefix="1" applyFill="1" applyBorder="1" applyAlignment="1">
      <alignment horizontal="left"/>
    </xf>
    <xf numFmtId="164" fontId="8" fillId="5" borderId="4" xfId="2" applyNumberFormat="1" applyFill="1" applyBorder="1" applyAlignment="1">
      <alignment horizontal="right"/>
    </xf>
    <xf numFmtId="14" fontId="8" fillId="8" borderId="4" xfId="2" applyNumberFormat="1" applyFill="1" applyBorder="1"/>
    <xf numFmtId="0" fontId="13" fillId="7" borderId="4" xfId="2" quotePrefix="1" applyFont="1" applyFill="1" applyBorder="1" applyAlignment="1">
      <alignment horizontal="center" vertical="center"/>
    </xf>
    <xf numFmtId="0" fontId="8" fillId="7" borderId="4" xfId="2" quotePrefix="1" applyFill="1" applyBorder="1" applyAlignment="1">
      <alignment horizontal="left" vertical="center"/>
    </xf>
    <xf numFmtId="164" fontId="8" fillId="7" borderId="4" xfId="2" applyNumberFormat="1" applyFill="1" applyBorder="1" applyAlignment="1">
      <alignment horizontal="right" vertical="center"/>
    </xf>
    <xf numFmtId="0" fontId="8" fillId="7" borderId="4" xfId="2" applyFill="1" applyBorder="1" applyAlignment="1">
      <alignment horizontal="center" vertical="center"/>
    </xf>
    <xf numFmtId="165" fontId="9" fillId="7" borderId="4" xfId="2" applyNumberFormat="1" applyFont="1" applyFill="1" applyBorder="1" applyAlignment="1">
      <alignment horizontal="center" vertical="center"/>
    </xf>
    <xf numFmtId="0" fontId="8" fillId="7" borderId="4" xfId="2" quotePrefix="1" applyFill="1" applyBorder="1" applyAlignment="1">
      <alignment horizontal="left"/>
    </xf>
    <xf numFmtId="0" fontId="13" fillId="3" borderId="4" xfId="2" quotePrefix="1" applyFont="1" applyFill="1" applyBorder="1" applyAlignment="1">
      <alignment horizontal="center" vertical="center"/>
    </xf>
    <xf numFmtId="0" fontId="9" fillId="7" borderId="4" xfId="2" applyFont="1" applyFill="1" applyBorder="1" applyAlignment="1">
      <alignment horizontal="center" vertical="center"/>
    </xf>
    <xf numFmtId="0" fontId="13" fillId="5" borderId="4" xfId="2" quotePrefix="1" applyFont="1" applyFill="1" applyBorder="1" applyAlignment="1">
      <alignment horizontal="center" vertical="center"/>
    </xf>
    <xf numFmtId="164" fontId="8" fillId="5" borderId="4" xfId="2" applyNumberFormat="1" applyFill="1" applyBorder="1" applyAlignment="1">
      <alignment horizontal="right" vertical="center"/>
    </xf>
    <xf numFmtId="0" fontId="9" fillId="5" borderId="4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69" fontId="8" fillId="3" borderId="4" xfId="2" applyNumberFormat="1" applyFill="1" applyBorder="1" applyAlignment="1">
      <alignment horizontal="right"/>
    </xf>
    <xf numFmtId="0" fontId="1" fillId="5" borderId="6" xfId="1" applyFill="1" applyBorder="1"/>
    <xf numFmtId="0" fontId="8" fillId="5" borderId="4" xfId="2" applyFill="1" applyBorder="1" applyAlignment="1">
      <alignment horizontal="center"/>
    </xf>
    <xf numFmtId="0" fontId="11" fillId="3" borderId="4" xfId="2" applyFont="1" applyFill="1" applyBorder="1" applyAlignment="1">
      <alignment horizontal="center"/>
    </xf>
    <xf numFmtId="0" fontId="1" fillId="3" borderId="3" xfId="1" applyFill="1" applyBorder="1"/>
    <xf numFmtId="0" fontId="13" fillId="3" borderId="4" xfId="2" applyFont="1" applyFill="1" applyBorder="1" applyAlignment="1">
      <alignment horizontal="center"/>
    </xf>
    <xf numFmtId="170" fontId="8" fillId="7" borderId="4" xfId="2" applyNumberFormat="1" applyFill="1" applyBorder="1" applyAlignment="1">
      <alignment horizontal="right" vertical="center"/>
    </xf>
    <xf numFmtId="0" fontId="8" fillId="5" borderId="4" xfId="2" applyFill="1" applyBorder="1" applyAlignment="1">
      <alignment horizontal="left"/>
    </xf>
    <xf numFmtId="0" fontId="8" fillId="12" borderId="4" xfId="2" applyFill="1" applyBorder="1" applyAlignment="1">
      <alignment horizontal="center"/>
    </xf>
    <xf numFmtId="165" fontId="9" fillId="6" borderId="4" xfId="2" applyNumberFormat="1" applyFont="1" applyFill="1" applyBorder="1" applyAlignment="1">
      <alignment horizontal="center"/>
    </xf>
    <xf numFmtId="14" fontId="8" fillId="6" borderId="4" xfId="2" applyNumberFormat="1" applyFill="1" applyBorder="1"/>
    <xf numFmtId="0" fontId="8" fillId="5" borderId="4" xfId="2" applyFill="1" applyBorder="1" applyAlignment="1">
      <alignment horizontal="left" vertical="center"/>
    </xf>
    <xf numFmtId="0" fontId="8" fillId="5" borderId="4" xfId="2" applyFill="1" applyBorder="1" applyAlignment="1">
      <alignment horizontal="center" vertical="center"/>
    </xf>
    <xf numFmtId="0" fontId="7" fillId="13" borderId="4" xfId="2" quotePrefix="1" applyFont="1" applyFill="1" applyBorder="1" applyAlignment="1">
      <alignment horizontal="center"/>
    </xf>
    <xf numFmtId="0" fontId="1" fillId="14" borderId="4" xfId="1" applyFill="1" applyBorder="1"/>
    <xf numFmtId="0" fontId="8" fillId="13" borderId="4" xfId="2" quotePrefix="1" applyFill="1" applyBorder="1" applyAlignment="1">
      <alignment horizontal="left"/>
    </xf>
    <xf numFmtId="164" fontId="16" fillId="13" borderId="4" xfId="2" applyNumberFormat="1" applyFont="1" applyFill="1" applyBorder="1" applyAlignment="1">
      <alignment horizontal="right"/>
    </xf>
    <xf numFmtId="164" fontId="8" fillId="13" borderId="4" xfId="2" applyNumberFormat="1" applyFill="1" applyBorder="1" applyAlignment="1">
      <alignment horizontal="right"/>
    </xf>
    <xf numFmtId="0" fontId="8" fillId="13" borderId="4" xfId="2" applyFill="1" applyBorder="1" applyAlignment="1">
      <alignment horizontal="center"/>
    </xf>
    <xf numFmtId="165" fontId="9" fillId="13" borderId="4" xfId="2" applyNumberFormat="1" applyFont="1" applyFill="1" applyBorder="1" applyAlignment="1">
      <alignment horizontal="center"/>
    </xf>
    <xf numFmtId="0" fontId="9" fillId="13" borderId="4" xfId="2" applyFont="1" applyFill="1" applyBorder="1" applyAlignment="1">
      <alignment horizontal="center"/>
    </xf>
    <xf numFmtId="14" fontId="8" fillId="13" borderId="4" xfId="2" applyNumberFormat="1" applyFill="1" applyBorder="1"/>
    <xf numFmtId="0" fontId="13" fillId="3" borderId="6" xfId="2" applyFont="1" applyFill="1" applyBorder="1" applyAlignment="1">
      <alignment horizontal="center"/>
    </xf>
    <xf numFmtId="0" fontId="8" fillId="3" borderId="6" xfId="2" quotePrefix="1" applyFill="1" applyBorder="1" applyAlignment="1">
      <alignment horizontal="left"/>
    </xf>
    <xf numFmtId="14" fontId="8" fillId="7" borderId="4" xfId="2" applyNumberFormat="1" applyFill="1" applyBorder="1"/>
    <xf numFmtId="164" fontId="10" fillId="10" borderId="4" xfId="2" applyNumberFormat="1" applyFont="1" applyFill="1" applyBorder="1" applyAlignment="1">
      <alignment horizontal="right"/>
    </xf>
    <xf numFmtId="0" fontId="9" fillId="10" borderId="4" xfId="2" applyFont="1" applyFill="1" applyBorder="1" applyAlignment="1">
      <alignment horizontal="center"/>
    </xf>
    <xf numFmtId="14" fontId="8" fillId="11" borderId="4" xfId="2" applyNumberFormat="1" applyFill="1" applyBorder="1"/>
    <xf numFmtId="0" fontId="11" fillId="3" borderId="4" xfId="2" quotePrefix="1" applyFont="1" applyFill="1" applyBorder="1" applyAlignment="1">
      <alignment horizontal="center"/>
    </xf>
    <xf numFmtId="14" fontId="8" fillId="15" borderId="4" xfId="2" applyNumberFormat="1" applyFill="1" applyBorder="1"/>
    <xf numFmtId="0" fontId="12" fillId="5" borderId="4" xfId="2" quotePrefix="1" applyFont="1" applyFill="1" applyBorder="1" applyAlignment="1">
      <alignment horizontal="center" vertical="center"/>
    </xf>
    <xf numFmtId="164" fontId="16" fillId="5" borderId="4" xfId="2" applyNumberFormat="1" applyFont="1" applyFill="1" applyBorder="1" applyAlignment="1">
      <alignment horizontal="right" vertical="center"/>
    </xf>
    <xf numFmtId="0" fontId="7" fillId="5" borderId="4" xfId="2" quotePrefix="1" applyFont="1" applyFill="1" applyBorder="1" applyAlignment="1">
      <alignment horizontal="center"/>
    </xf>
    <xf numFmtId="167" fontId="8" fillId="13" borderId="4" xfId="2" quotePrefix="1" applyNumberFormat="1" applyFill="1" applyBorder="1" applyAlignment="1">
      <alignment horizontal="left" vertical="justify"/>
    </xf>
    <xf numFmtId="164" fontId="16" fillId="13" borderId="4" xfId="2" applyNumberFormat="1" applyFont="1" applyFill="1" applyBorder="1" applyAlignment="1">
      <alignment horizontal="right" vertical="justify"/>
    </xf>
    <xf numFmtId="164" fontId="8" fillId="13" borderId="4" xfId="2" applyNumberFormat="1" applyFill="1" applyBorder="1" applyAlignment="1">
      <alignment horizontal="right" vertical="justify"/>
    </xf>
    <xf numFmtId="167" fontId="8" fillId="3" borderId="4" xfId="2" quotePrefix="1" applyNumberFormat="1" applyFill="1" applyBorder="1" applyAlignment="1">
      <alignment horizontal="left" vertical="justify"/>
    </xf>
    <xf numFmtId="164" fontId="16" fillId="3" borderId="4" xfId="2" applyNumberFormat="1" applyFont="1" applyFill="1" applyBorder="1" applyAlignment="1">
      <alignment horizontal="right" vertical="justify"/>
    </xf>
    <xf numFmtId="164" fontId="8" fillId="3" borderId="4" xfId="2" applyNumberFormat="1" applyFill="1" applyBorder="1" applyAlignment="1">
      <alignment horizontal="right" vertical="justify"/>
    </xf>
    <xf numFmtId="0" fontId="8" fillId="3" borderId="4" xfId="2" applyFill="1" applyBorder="1" applyAlignment="1">
      <alignment horizontal="center" vertical="justify"/>
    </xf>
    <xf numFmtId="165" fontId="9" fillId="3" borderId="4" xfId="2" applyNumberFormat="1" applyFont="1" applyFill="1" applyBorder="1" applyAlignment="1">
      <alignment horizontal="center" vertical="justify"/>
    </xf>
    <xf numFmtId="0" fontId="1" fillId="3" borderId="0" xfId="1" applyFill="1"/>
    <xf numFmtId="171" fontId="8" fillId="5" borderId="4" xfId="2" quotePrefix="1" applyNumberFormat="1" applyFill="1" applyBorder="1" applyAlignment="1">
      <alignment horizontal="right" vertical="center"/>
    </xf>
    <xf numFmtId="167" fontId="8" fillId="5" borderId="4" xfId="2" quotePrefix="1" applyNumberFormat="1" applyFill="1" applyBorder="1" applyAlignment="1">
      <alignment horizontal="left" vertical="center"/>
    </xf>
    <xf numFmtId="0" fontId="8" fillId="6" borderId="4" xfId="2" applyFill="1" applyBorder="1" applyAlignment="1">
      <alignment horizontal="center" vertical="center"/>
    </xf>
    <xf numFmtId="0" fontId="8" fillId="6" borderId="4" xfId="2" applyFill="1" applyBorder="1" applyAlignment="1">
      <alignment horizontal="center" vertical="justify"/>
    </xf>
    <xf numFmtId="0" fontId="7" fillId="13" borderId="4" xfId="2" applyFont="1" applyFill="1" applyBorder="1" applyAlignment="1">
      <alignment horizontal="center"/>
    </xf>
    <xf numFmtId="0" fontId="8" fillId="13" borderId="4" xfId="2" applyFill="1" applyBorder="1" applyAlignment="1">
      <alignment horizontal="center" vertical="justify"/>
    </xf>
    <xf numFmtId="165" fontId="9" fillId="13" borderId="4" xfId="2" applyNumberFormat="1" applyFont="1" applyFill="1" applyBorder="1" applyAlignment="1">
      <alignment horizontal="center" vertical="center"/>
    </xf>
    <xf numFmtId="0" fontId="1" fillId="10" borderId="4" xfId="1" quotePrefix="1" applyFill="1" applyBorder="1"/>
    <xf numFmtId="0" fontId="8" fillId="10" borderId="4" xfId="2" quotePrefix="1" applyFill="1" applyBorder="1" applyAlignment="1">
      <alignment horizontal="left" vertical="center"/>
    </xf>
    <xf numFmtId="165" fontId="8" fillId="3" borderId="4" xfId="2" applyNumberFormat="1" applyFill="1" applyBorder="1" applyAlignment="1">
      <alignment horizontal="center"/>
    </xf>
    <xf numFmtId="165" fontId="8" fillId="10" borderId="4" xfId="2" applyNumberFormat="1" applyFill="1" applyBorder="1" applyAlignment="1">
      <alignment horizontal="center"/>
    </xf>
    <xf numFmtId="172" fontId="17" fillId="3" borderId="4" xfId="2" applyNumberFormat="1" applyFont="1" applyFill="1" applyBorder="1" applyAlignment="1">
      <alignment horizontal="right"/>
    </xf>
    <xf numFmtId="0" fontId="8" fillId="3" borderId="4" xfId="2" applyFill="1" applyBorder="1" applyAlignment="1">
      <alignment horizontal="left" vertical="center"/>
    </xf>
    <xf numFmtId="173" fontId="8" fillId="3" borderId="4" xfId="2" applyNumberFormat="1" applyFill="1" applyBorder="1" applyAlignment="1">
      <alignment horizontal="right" vertical="center"/>
    </xf>
    <xf numFmtId="174" fontId="8" fillId="3" borderId="4" xfId="2" applyNumberFormat="1" applyFill="1" applyBorder="1" applyAlignment="1">
      <alignment horizontal="right" vertical="center"/>
    </xf>
    <xf numFmtId="0" fontId="9" fillId="6" borderId="4" xfId="2" applyFont="1" applyFill="1" applyBorder="1" applyAlignment="1">
      <alignment horizontal="center" vertical="center"/>
    </xf>
    <xf numFmtId="0" fontId="9" fillId="13" borderId="4" xfId="2" applyFont="1" applyFill="1" applyBorder="1" applyAlignment="1">
      <alignment horizontal="center" vertical="center"/>
    </xf>
    <xf numFmtId="175" fontId="17" fillId="3" borderId="4" xfId="2" applyNumberFormat="1" applyFont="1" applyFill="1" applyBorder="1" applyAlignment="1">
      <alignment horizontal="right"/>
    </xf>
    <xf numFmtId="165" fontId="8" fillId="6" borderId="4" xfId="2" applyNumberFormat="1" applyFill="1" applyBorder="1" applyAlignment="1">
      <alignment horizontal="center"/>
    </xf>
    <xf numFmtId="0" fontId="8" fillId="11" borderId="4" xfId="2" applyFill="1" applyBorder="1" applyAlignment="1">
      <alignment horizontal="center" vertical="center"/>
    </xf>
    <xf numFmtId="165" fontId="9" fillId="4" borderId="4" xfId="2" applyNumberFormat="1" applyFont="1" applyFill="1" applyBorder="1" applyAlignment="1">
      <alignment horizontal="center"/>
    </xf>
    <xf numFmtId="0" fontId="9" fillId="4" borderId="4" xfId="2" applyFont="1" applyFill="1" applyBorder="1" applyAlignment="1">
      <alignment horizontal="center"/>
    </xf>
    <xf numFmtId="0" fontId="8" fillId="6" borderId="4" xfId="2" applyFill="1" applyBorder="1" applyAlignment="1">
      <alignment horizontal="center"/>
    </xf>
    <xf numFmtId="0" fontId="9" fillId="4" borderId="4" xfId="2" applyFont="1" applyFill="1" applyBorder="1" applyAlignment="1">
      <alignment horizontal="center" vertical="center"/>
    </xf>
    <xf numFmtId="165" fontId="9" fillId="13" borderId="4" xfId="2" applyNumberFormat="1" applyFont="1" applyFill="1" applyBorder="1" applyAlignment="1">
      <alignment horizontal="center" vertical="justify"/>
    </xf>
    <xf numFmtId="165" fontId="9" fillId="6" borderId="4" xfId="2" applyNumberFormat="1" applyFont="1" applyFill="1" applyBorder="1" applyAlignment="1">
      <alignment horizontal="center" vertical="justify"/>
    </xf>
    <xf numFmtId="0" fontId="14" fillId="3" borderId="4" xfId="2" applyFont="1" applyFill="1" applyBorder="1" applyAlignment="1">
      <alignment horizontal="center"/>
    </xf>
    <xf numFmtId="0" fontId="14" fillId="13" borderId="4" xfId="2" applyFont="1" applyFill="1" applyBorder="1" applyAlignment="1">
      <alignment horizontal="center"/>
    </xf>
    <xf numFmtId="176" fontId="8" fillId="3" borderId="4" xfId="2" applyNumberFormat="1" applyFill="1" applyBorder="1" applyAlignment="1">
      <alignment horizontal="right" vertical="center"/>
    </xf>
    <xf numFmtId="177" fontId="8" fillId="3" borderId="4" xfId="2" applyNumberFormat="1" applyFill="1" applyBorder="1" applyAlignment="1">
      <alignment horizontal="right" vertical="center"/>
    </xf>
    <xf numFmtId="0" fontId="8" fillId="10" borderId="4" xfId="2" applyFill="1" applyBorder="1" applyAlignment="1">
      <alignment horizontal="left" vertical="center"/>
    </xf>
    <xf numFmtId="164" fontId="16" fillId="10" borderId="4" xfId="2" applyNumberFormat="1" applyFont="1" applyFill="1" applyBorder="1" applyAlignment="1">
      <alignment horizontal="right" vertical="center"/>
    </xf>
    <xf numFmtId="0" fontId="12" fillId="3" borderId="4" xfId="2" quotePrefix="1" applyFont="1" applyFill="1" applyBorder="1" applyAlignment="1">
      <alignment horizontal="center"/>
    </xf>
    <xf numFmtId="0" fontId="8" fillId="3" borderId="4" xfId="2" applyFill="1" applyBorder="1" applyAlignment="1">
      <alignment horizontal="right" vertical="center"/>
    </xf>
    <xf numFmtId="164" fontId="8" fillId="3" borderId="4" xfId="2" applyNumberFormat="1" applyFill="1" applyBorder="1" applyAlignment="1">
      <alignment horizontal="center" vertical="center"/>
    </xf>
    <xf numFmtId="0" fontId="13" fillId="8" borderId="4" xfId="2" quotePrefix="1" applyFont="1" applyFill="1" applyBorder="1" applyAlignment="1">
      <alignment horizontal="center" vertical="center"/>
    </xf>
    <xf numFmtId="0" fontId="8" fillId="8" borderId="4" xfId="2" quotePrefix="1" applyFill="1" applyBorder="1" applyAlignment="1">
      <alignment horizontal="left" vertical="center"/>
    </xf>
    <xf numFmtId="164" fontId="8" fillId="8" borderId="4" xfId="2" applyNumberFormat="1" applyFill="1" applyBorder="1" applyAlignment="1">
      <alignment horizontal="right" vertical="center"/>
    </xf>
    <xf numFmtId="0" fontId="8" fillId="8" borderId="4" xfId="2" applyFill="1" applyBorder="1" applyAlignment="1">
      <alignment horizontal="center" vertical="center"/>
    </xf>
    <xf numFmtId="165" fontId="9" fillId="8" borderId="4" xfId="2" applyNumberFormat="1" applyFont="1" applyFill="1" applyBorder="1" applyAlignment="1">
      <alignment horizontal="center" vertical="center"/>
    </xf>
    <xf numFmtId="0" fontId="9" fillId="8" borderId="4" xfId="2" applyFont="1" applyFill="1" applyBorder="1" applyAlignment="1">
      <alignment horizontal="center" vertical="center"/>
    </xf>
    <xf numFmtId="164" fontId="8" fillId="3" borderId="4" xfId="2" quotePrefix="1" applyNumberFormat="1" applyFill="1" applyBorder="1" applyAlignment="1">
      <alignment horizontal="right" vertical="center"/>
    </xf>
    <xf numFmtId="164" fontId="8" fillId="3" borderId="4" xfId="2" quotePrefix="1" applyNumberFormat="1" applyFill="1" applyBorder="1" applyAlignment="1">
      <alignment horizontal="right" vertical="justify"/>
    </xf>
    <xf numFmtId="0" fontId="8" fillId="12" borderId="4" xfId="2" applyFill="1" applyBorder="1" applyAlignment="1">
      <alignment horizontal="center" vertical="justify"/>
    </xf>
    <xf numFmtId="167" fontId="14" fillId="3" borderId="4" xfId="2" applyNumberFormat="1" applyFont="1" applyFill="1" applyBorder="1" applyAlignment="1">
      <alignment horizontal="center" vertical="justify"/>
    </xf>
    <xf numFmtId="164" fontId="8" fillId="6" borderId="4" xfId="2" applyNumberFormat="1" applyFill="1" applyBorder="1" applyAlignment="1">
      <alignment horizontal="center" vertical="center"/>
    </xf>
    <xf numFmtId="165" fontId="9" fillId="6" borderId="4" xfId="2" applyNumberFormat="1" applyFont="1" applyFill="1" applyBorder="1" applyAlignment="1">
      <alignment horizontal="center" vertical="center"/>
    </xf>
    <xf numFmtId="178" fontId="8" fillId="3" borderId="4" xfId="2" applyNumberFormat="1" applyFill="1" applyBorder="1" applyAlignment="1">
      <alignment horizontal="right" vertical="center"/>
    </xf>
    <xf numFmtId="179" fontId="8" fillId="3" borderId="4" xfId="2" applyNumberFormat="1" applyFill="1" applyBorder="1" applyAlignment="1">
      <alignment horizontal="right" vertical="center"/>
    </xf>
    <xf numFmtId="0" fontId="7" fillId="3" borderId="4" xfId="2" applyFont="1" applyFill="1" applyBorder="1" applyAlignment="1">
      <alignment horizontal="center"/>
    </xf>
    <xf numFmtId="164" fontId="8" fillId="10" borderId="4" xfId="2" applyNumberFormat="1" applyFill="1" applyBorder="1" applyAlignment="1">
      <alignment horizontal="center" vertical="center"/>
    </xf>
    <xf numFmtId="0" fontId="14" fillId="3" borderId="4" xfId="2" quotePrefix="1" applyFont="1" applyFill="1" applyBorder="1" applyAlignment="1">
      <alignment horizontal="center"/>
    </xf>
    <xf numFmtId="0" fontId="11" fillId="5" borderId="4" xfId="2" applyFont="1" applyFill="1" applyBorder="1" applyAlignment="1">
      <alignment horizontal="center"/>
    </xf>
    <xf numFmtId="164" fontId="16" fillId="5" borderId="4" xfId="2" applyNumberFormat="1" applyFont="1" applyFill="1" applyBorder="1" applyAlignment="1">
      <alignment horizontal="right"/>
    </xf>
    <xf numFmtId="0" fontId="8" fillId="13" borderId="4" xfId="2" applyFill="1" applyBorder="1" applyAlignment="1">
      <alignment horizontal="left"/>
    </xf>
    <xf numFmtId="0" fontId="9" fillId="6" borderId="4" xfId="2" applyFont="1" applyFill="1" applyBorder="1" applyAlignment="1">
      <alignment horizontal="center"/>
    </xf>
    <xf numFmtId="0" fontId="18" fillId="3" borderId="4" xfId="2" quotePrefix="1" applyFont="1" applyFill="1" applyBorder="1" applyAlignment="1">
      <alignment horizontal="center"/>
    </xf>
    <xf numFmtId="0" fontId="19" fillId="3" borderId="4" xfId="2" quotePrefix="1" applyFont="1" applyFill="1" applyBorder="1" applyAlignment="1">
      <alignment horizontal="left"/>
    </xf>
    <xf numFmtId="164" fontId="19" fillId="3" borderId="4" xfId="2" applyNumberFormat="1" applyFont="1" applyFill="1" applyBorder="1" applyAlignment="1">
      <alignment horizontal="right"/>
    </xf>
    <xf numFmtId="0" fontId="19" fillId="3" borderId="4" xfId="2" applyFont="1" applyFill="1" applyBorder="1" applyAlignment="1">
      <alignment horizontal="center"/>
    </xf>
    <xf numFmtId="165" fontId="19" fillId="3" borderId="4" xfId="2" applyNumberFormat="1" applyFont="1" applyFill="1" applyBorder="1" applyAlignment="1">
      <alignment horizontal="center"/>
    </xf>
    <xf numFmtId="14" fontId="19" fillId="3" borderId="4" xfId="2" applyNumberFormat="1" applyFont="1" applyFill="1" applyBorder="1"/>
    <xf numFmtId="0" fontId="8" fillId="3" borderId="4" xfId="2" quotePrefix="1" applyFill="1" applyBorder="1" applyAlignment="1">
      <alignment horizontal="right" vertical="center"/>
    </xf>
    <xf numFmtId="14" fontId="8" fillId="4" borderId="4" xfId="2" applyNumberFormat="1" applyFill="1" applyBorder="1"/>
    <xf numFmtId="0" fontId="9" fillId="11" borderId="4" xfId="2" applyFont="1" applyFill="1" applyBorder="1" applyAlignment="1">
      <alignment horizontal="center" vertical="center"/>
    </xf>
    <xf numFmtId="0" fontId="14" fillId="13" borderId="4" xfId="2" quotePrefix="1" applyFont="1" applyFill="1" applyBorder="1" applyAlignment="1">
      <alignment horizontal="center"/>
    </xf>
    <xf numFmtId="0" fontId="9" fillId="3" borderId="4" xfId="2" applyFont="1" applyFill="1" applyBorder="1" applyAlignment="1">
      <alignment horizontal="center" vertical="justify"/>
    </xf>
    <xf numFmtId="0" fontId="13" fillId="5" borderId="4" xfId="2" applyFont="1" applyFill="1" applyBorder="1" applyAlignment="1">
      <alignment horizontal="center"/>
    </xf>
    <xf numFmtId="0" fontId="14" fillId="5" borderId="4" xfId="2" applyFont="1" applyFill="1" applyBorder="1" applyAlignment="1">
      <alignment horizontal="center"/>
    </xf>
    <xf numFmtId="0" fontId="1" fillId="14" borderId="4" xfId="1" quotePrefix="1" applyFill="1" applyBorder="1"/>
    <xf numFmtId="0" fontId="9" fillId="13" borderId="4" xfId="2" applyFont="1" applyFill="1" applyBorder="1" applyAlignment="1">
      <alignment horizontal="center" vertical="justify"/>
    </xf>
    <xf numFmtId="167" fontId="8" fillId="3" borderId="4" xfId="2" quotePrefix="1" applyNumberFormat="1" applyFill="1" applyBorder="1" applyAlignment="1">
      <alignment horizontal="left" vertical="center"/>
    </xf>
    <xf numFmtId="0" fontId="12" fillId="5" borderId="4" xfId="2" quotePrefix="1" applyFont="1" applyFill="1" applyBorder="1" applyAlignment="1">
      <alignment horizontal="center"/>
    </xf>
    <xf numFmtId="0" fontId="9" fillId="12" borderId="4" xfId="2" applyFont="1" applyFill="1" applyBorder="1" applyAlignment="1">
      <alignment horizontal="center" vertical="center"/>
    </xf>
    <xf numFmtId="165" fontId="9" fillId="16" borderId="4" xfId="2" applyNumberFormat="1" applyFont="1" applyFill="1" applyBorder="1" applyAlignment="1">
      <alignment horizontal="center"/>
    </xf>
    <xf numFmtId="14" fontId="8" fillId="16" borderId="4" xfId="2" applyNumberFormat="1" applyFill="1" applyBorder="1"/>
    <xf numFmtId="165" fontId="9" fillId="4" borderId="4" xfId="2" applyNumberFormat="1" applyFont="1" applyFill="1" applyBorder="1" applyAlignment="1">
      <alignment horizontal="center" vertical="center"/>
    </xf>
    <xf numFmtId="180" fontId="8" fillId="3" borderId="4" xfId="2" applyNumberFormat="1" applyFill="1" applyBorder="1" applyAlignment="1">
      <alignment horizontal="right" vertical="center"/>
    </xf>
    <xf numFmtId="0" fontId="20" fillId="5" borderId="4" xfId="1" applyFont="1" applyFill="1" applyBorder="1"/>
    <xf numFmtId="165" fontId="8" fillId="5" borderId="4" xfId="2" applyNumberFormat="1" applyFill="1" applyBorder="1" applyAlignment="1">
      <alignment horizontal="center" vertical="center"/>
    </xf>
    <xf numFmtId="14" fontId="8" fillId="9" borderId="4" xfId="2" applyNumberFormat="1" applyFill="1" applyBorder="1"/>
    <xf numFmtId="165" fontId="9" fillId="16" borderId="4" xfId="2" applyNumberFormat="1" applyFont="1" applyFill="1" applyBorder="1" applyAlignment="1">
      <alignment horizontal="center" vertical="center"/>
    </xf>
    <xf numFmtId="14" fontId="8" fillId="17" borderId="4" xfId="2" applyNumberFormat="1" applyFill="1" applyBorder="1"/>
    <xf numFmtId="165" fontId="8" fillId="13" borderId="4" xfId="2" applyNumberFormat="1" applyFill="1" applyBorder="1" applyAlignment="1">
      <alignment horizontal="center"/>
    </xf>
    <xf numFmtId="0" fontId="11" fillId="13" borderId="4" xfId="2" applyFont="1" applyFill="1" applyBorder="1" applyAlignment="1">
      <alignment horizontal="center"/>
    </xf>
    <xf numFmtId="0" fontId="13" fillId="9" borderId="4" xfId="2" quotePrefix="1" applyFont="1" applyFill="1" applyBorder="1" applyAlignment="1">
      <alignment horizontal="center" vertical="center"/>
    </xf>
    <xf numFmtId="0" fontId="1" fillId="18" borderId="4" xfId="1" applyFill="1" applyBorder="1"/>
    <xf numFmtId="0" fontId="8" fillId="9" borderId="4" xfId="2" quotePrefix="1" applyFill="1" applyBorder="1" applyAlignment="1">
      <alignment horizontal="left"/>
    </xf>
    <xf numFmtId="164" fontId="8" fillId="9" borderId="4" xfId="2" applyNumberFormat="1" applyFill="1" applyBorder="1" applyAlignment="1">
      <alignment horizontal="right" vertical="center"/>
    </xf>
    <xf numFmtId="0" fontId="8" fillId="9" borderId="4" xfId="2" applyFill="1" applyBorder="1" applyAlignment="1">
      <alignment horizontal="center" vertical="center"/>
    </xf>
    <xf numFmtId="165" fontId="9" fillId="9" borderId="4" xfId="2" applyNumberFormat="1" applyFont="1" applyFill="1" applyBorder="1" applyAlignment="1">
      <alignment horizontal="center" vertical="center"/>
    </xf>
    <xf numFmtId="0" fontId="9" fillId="9" borderId="4" xfId="2" applyFont="1" applyFill="1" applyBorder="1" applyAlignment="1">
      <alignment horizontal="center" vertical="center"/>
    </xf>
    <xf numFmtId="0" fontId="7" fillId="9" borderId="4" xfId="2" quotePrefix="1" applyFont="1" applyFill="1" applyBorder="1" applyAlignment="1">
      <alignment horizontal="center"/>
    </xf>
    <xf numFmtId="164" fontId="16" fillId="9" borderId="4" xfId="2" applyNumberFormat="1" applyFont="1" applyFill="1" applyBorder="1" applyAlignment="1">
      <alignment horizontal="right"/>
    </xf>
    <xf numFmtId="164" fontId="8" fillId="9" borderId="4" xfId="2" applyNumberFormat="1" applyFill="1" applyBorder="1" applyAlignment="1">
      <alignment horizontal="right"/>
    </xf>
    <xf numFmtId="0" fontId="8" fillId="9" borderId="4" xfId="2" applyFill="1" applyBorder="1" applyAlignment="1">
      <alignment horizontal="center"/>
    </xf>
    <xf numFmtId="0" fontId="13" fillId="9" borderId="4" xfId="2" quotePrefix="1" applyFont="1" applyFill="1" applyBorder="1" applyAlignment="1">
      <alignment horizontal="center"/>
    </xf>
    <xf numFmtId="0" fontId="9" fillId="9" borderId="4" xfId="2" applyFont="1" applyFill="1" applyBorder="1" applyAlignment="1">
      <alignment horizontal="center"/>
    </xf>
    <xf numFmtId="165" fontId="9" fillId="9" borderId="4" xfId="2" applyNumberFormat="1" applyFont="1" applyFill="1" applyBorder="1" applyAlignment="1">
      <alignment horizontal="center"/>
    </xf>
    <xf numFmtId="0" fontId="12" fillId="5" borderId="8" xfId="2" quotePrefix="1" applyFont="1" applyFill="1" applyBorder="1" applyAlignment="1">
      <alignment horizontal="center" vertical="center"/>
    </xf>
    <xf numFmtId="0" fontId="0" fillId="5" borderId="8" xfId="0" applyFill="1" applyBorder="1"/>
    <xf numFmtId="167" fontId="8" fillId="5" borderId="8" xfId="2" quotePrefix="1" applyNumberFormat="1" applyFill="1" applyBorder="1" applyAlignment="1">
      <alignment horizontal="left" vertical="center"/>
    </xf>
    <xf numFmtId="164" fontId="16" fillId="5" borderId="8" xfId="2" applyNumberFormat="1" applyFont="1" applyFill="1" applyBorder="1" applyAlignment="1">
      <alignment horizontal="right" vertical="center"/>
    </xf>
    <xf numFmtId="164" fontId="8" fillId="5" borderId="8" xfId="2" applyNumberFormat="1" applyFill="1" applyBorder="1" applyAlignment="1">
      <alignment horizontal="right" vertical="center"/>
    </xf>
    <xf numFmtId="0" fontId="8" fillId="5" borderId="8" xfId="2" applyFill="1" applyBorder="1" applyAlignment="1">
      <alignment horizontal="center" vertical="center"/>
    </xf>
    <xf numFmtId="165" fontId="9" fillId="5" borderId="8" xfId="2" applyNumberFormat="1" applyFont="1" applyFill="1" applyBorder="1" applyAlignment="1">
      <alignment horizontal="center"/>
    </xf>
    <xf numFmtId="0" fontId="9" fillId="5" borderId="8" xfId="2" applyFont="1" applyFill="1" applyBorder="1" applyAlignment="1">
      <alignment horizontal="center"/>
    </xf>
    <xf numFmtId="165" fontId="9" fillId="5" borderId="8" xfId="2" applyNumberFormat="1" applyFont="1" applyFill="1" applyBorder="1" applyAlignment="1">
      <alignment horizontal="center" vertical="center"/>
    </xf>
    <xf numFmtId="14" fontId="8" fillId="5" borderId="8" xfId="2" applyNumberFormat="1" applyFill="1" applyBorder="1"/>
    <xf numFmtId="14" fontId="4" fillId="0" borderId="11" xfId="2" applyNumberFormat="1" applyFont="1" applyBorder="1" applyAlignment="1">
      <alignment horizontal="left"/>
    </xf>
    <xf numFmtId="0" fontId="4" fillId="0" borderId="11" xfId="2" applyFont="1" applyBorder="1"/>
    <xf numFmtId="14" fontId="21" fillId="5" borderId="10" xfId="2" applyNumberFormat="1" applyFont="1" applyFill="1" applyBorder="1"/>
    <xf numFmtId="0" fontId="8" fillId="5" borderId="10" xfId="2" applyFill="1" applyBorder="1"/>
    <xf numFmtId="0" fontId="8" fillId="3" borderId="4" xfId="2" applyFill="1" applyBorder="1"/>
    <xf numFmtId="0" fontId="8" fillId="5" borderId="4" xfId="2" applyFill="1" applyBorder="1"/>
    <xf numFmtId="0" fontId="17" fillId="5" borderId="4" xfId="2" applyFont="1" applyFill="1" applyBorder="1"/>
    <xf numFmtId="0" fontId="8" fillId="10" borderId="4" xfId="2" applyFill="1" applyBorder="1"/>
    <xf numFmtId="0" fontId="8" fillId="13" borderId="4" xfId="2" applyFill="1" applyBorder="1"/>
    <xf numFmtId="14" fontId="8" fillId="19" borderId="4" xfId="2" applyNumberFormat="1" applyFill="1" applyBorder="1"/>
    <xf numFmtId="14" fontId="17" fillId="5" borderId="4" xfId="4" applyNumberFormat="1" applyFont="1" applyFill="1" applyBorder="1" applyAlignment="1">
      <alignment horizontal="right" vertical="center"/>
    </xf>
    <xf numFmtId="14" fontId="8" fillId="20" borderId="4" xfId="2" applyNumberFormat="1" applyFill="1" applyBorder="1"/>
    <xf numFmtId="0" fontId="19" fillId="3" borderId="4" xfId="2" applyFont="1" applyFill="1" applyBorder="1"/>
    <xf numFmtId="0" fontId="8" fillId="6" borderId="4" xfId="2" applyFill="1" applyBorder="1"/>
    <xf numFmtId="0" fontId="17" fillId="13" borderId="4" xfId="2" applyFont="1" applyFill="1" applyBorder="1"/>
    <xf numFmtId="0" fontId="8" fillId="9" borderId="4" xfId="2" applyFill="1" applyBorder="1"/>
    <xf numFmtId="0" fontId="8" fillId="5" borderId="8" xfId="2" applyFill="1" applyBorder="1"/>
    <xf numFmtId="0" fontId="15" fillId="0" borderId="12" xfId="0" applyFont="1" applyBorder="1"/>
    <xf numFmtId="166" fontId="4" fillId="0" borderId="13" xfId="2" applyNumberFormat="1" applyFont="1" applyBorder="1"/>
    <xf numFmtId="166" fontId="17" fillId="5" borderId="14" xfId="3" applyNumberFormat="1" applyFont="1" applyFill="1" applyBorder="1" applyAlignment="1">
      <alignment horizontal="right" vertical="center"/>
    </xf>
    <xf numFmtId="166" fontId="8" fillId="3" borderId="15" xfId="2" applyNumberFormat="1" applyFill="1" applyBorder="1"/>
    <xf numFmtId="166" fontId="8" fillId="5" borderId="15" xfId="2" applyNumberFormat="1" applyFill="1" applyBorder="1"/>
    <xf numFmtId="166" fontId="17" fillId="5" borderId="15" xfId="2" applyNumberFormat="1" applyFont="1" applyFill="1" applyBorder="1"/>
    <xf numFmtId="166" fontId="8" fillId="10" borderId="15" xfId="2" applyNumberFormat="1" applyFill="1" applyBorder="1"/>
    <xf numFmtId="166" fontId="8" fillId="13" borderId="15" xfId="2" applyNumberFormat="1" applyFill="1" applyBorder="1"/>
    <xf numFmtId="166" fontId="19" fillId="3" borderId="15" xfId="2" applyNumberFormat="1" applyFont="1" applyFill="1" applyBorder="1"/>
    <xf numFmtId="166" fontId="8" fillId="6" borderId="15" xfId="2" applyNumberFormat="1" applyFill="1" applyBorder="1"/>
    <xf numFmtId="166" fontId="17" fillId="13" borderId="15" xfId="2" applyNumberFormat="1" applyFont="1" applyFill="1" applyBorder="1"/>
    <xf numFmtId="166" fontId="8" fillId="9" borderId="15" xfId="2" applyNumberFormat="1" applyFill="1" applyBorder="1"/>
    <xf numFmtId="166" fontId="8" fillId="5" borderId="16" xfId="2" applyNumberFormat="1" applyFill="1" applyBorder="1"/>
    <xf numFmtId="0" fontId="1" fillId="3" borderId="17" xfId="1" applyFill="1" applyBorder="1" applyAlignment="1">
      <alignment horizontal="left" vertical="center"/>
    </xf>
    <xf numFmtId="0" fontId="1" fillId="3" borderId="17" xfId="1" quotePrefix="1" applyFill="1" applyBorder="1" applyAlignment="1">
      <alignment horizontal="left" vertical="center"/>
    </xf>
    <xf numFmtId="0" fontId="1" fillId="5" borderId="17" xfId="1" applyFill="1" applyBorder="1" applyAlignment="1">
      <alignment horizontal="left" vertical="center"/>
    </xf>
    <xf numFmtId="0" fontId="1" fillId="5" borderId="17" xfId="1" quotePrefix="1" applyFill="1" applyBorder="1"/>
    <xf numFmtId="167" fontId="1" fillId="5" borderId="17" xfId="1" quotePrefix="1" applyNumberFormat="1" applyFill="1" applyBorder="1" applyAlignment="1">
      <alignment horizontal="left" vertical="justify"/>
    </xf>
    <xf numFmtId="0" fontId="1" fillId="3" borderId="17" xfId="1" quotePrefix="1" applyFill="1" applyBorder="1" applyAlignment="1">
      <alignment horizontal="left"/>
    </xf>
    <xf numFmtId="0" fontId="1" fillId="3" borderId="17" xfId="1" applyFill="1" applyBorder="1" applyAlignment="1">
      <alignment horizontal="left"/>
    </xf>
    <xf numFmtId="0" fontId="1" fillId="10" borderId="17" xfId="1" applyFill="1" applyBorder="1" applyAlignment="1">
      <alignment horizontal="left"/>
    </xf>
    <xf numFmtId="0" fontId="1" fillId="3" borderId="17" xfId="1" applyFill="1" applyBorder="1"/>
    <xf numFmtId="0" fontId="0" fillId="3" borderId="17" xfId="0" applyFill="1" applyBorder="1"/>
    <xf numFmtId="0" fontId="1" fillId="5" borderId="17" xfId="1" applyFill="1" applyBorder="1" applyAlignment="1">
      <alignment horizontal="left"/>
    </xf>
    <xf numFmtId="0" fontId="1" fillId="7" borderId="17" xfId="1" applyFill="1" applyBorder="1" applyAlignment="1">
      <alignment horizontal="left" vertical="center"/>
    </xf>
    <xf numFmtId="167" fontId="1" fillId="3" borderId="17" xfId="1" applyNumberFormat="1" applyFill="1" applyBorder="1" applyAlignment="1">
      <alignment horizontal="left" vertical="center"/>
    </xf>
    <xf numFmtId="0" fontId="1" fillId="5" borderId="17" xfId="1" quotePrefix="1" applyFill="1" applyBorder="1" applyAlignment="1">
      <alignment horizontal="left"/>
    </xf>
    <xf numFmtId="0" fontId="23" fillId="3" borderId="17" xfId="1" applyFont="1" applyFill="1" applyBorder="1" applyAlignment="1">
      <alignment horizontal="left"/>
    </xf>
    <xf numFmtId="0" fontId="1" fillId="13" borderId="17" xfId="1" applyFill="1" applyBorder="1" applyAlignment="1">
      <alignment horizontal="left"/>
    </xf>
    <xf numFmtId="0" fontId="1" fillId="10" borderId="17" xfId="1" applyFill="1" applyBorder="1"/>
    <xf numFmtId="0" fontId="1" fillId="3" borderId="17" xfId="1" quotePrefix="1" applyFill="1" applyBorder="1"/>
    <xf numFmtId="167" fontId="1" fillId="5" borderId="17" xfId="1" applyNumberFormat="1" applyFill="1" applyBorder="1" applyAlignment="1">
      <alignment horizontal="left" vertical="center"/>
    </xf>
    <xf numFmtId="167" fontId="1" fillId="5" borderId="17" xfId="1" applyNumberFormat="1" applyFill="1" applyBorder="1" applyAlignment="1">
      <alignment horizontal="left" vertical="justify"/>
    </xf>
    <xf numFmtId="167" fontId="1" fillId="13" borderId="17" xfId="1" applyNumberFormat="1" applyFill="1" applyBorder="1" applyAlignment="1">
      <alignment horizontal="left" vertical="justify"/>
    </xf>
    <xf numFmtId="167" fontId="1" fillId="3" borderId="17" xfId="1" quotePrefix="1" applyNumberFormat="1" applyFill="1" applyBorder="1" applyAlignment="1">
      <alignment horizontal="left" vertical="justify"/>
    </xf>
    <xf numFmtId="0" fontId="1" fillId="5" borderId="17" xfId="1" applyFill="1" applyBorder="1"/>
    <xf numFmtId="167" fontId="1" fillId="3" borderId="17" xfId="1" applyNumberFormat="1" applyFill="1" applyBorder="1" applyAlignment="1">
      <alignment horizontal="left" vertical="justify"/>
    </xf>
    <xf numFmtId="181" fontId="1" fillId="3" borderId="17" xfId="1" applyNumberFormat="1" applyFill="1" applyBorder="1" applyAlignment="1">
      <alignment horizontal="left"/>
    </xf>
    <xf numFmtId="181" fontId="1" fillId="13" borderId="17" xfId="1" applyNumberFormat="1" applyFill="1" applyBorder="1" applyAlignment="1">
      <alignment horizontal="left"/>
    </xf>
    <xf numFmtId="167" fontId="1" fillId="10" borderId="17" xfId="1" quotePrefix="1" applyNumberFormat="1" applyFill="1" applyBorder="1" applyAlignment="1">
      <alignment horizontal="left" vertical="justify"/>
    </xf>
    <xf numFmtId="0" fontId="1" fillId="10" borderId="17" xfId="1" applyFill="1" applyBorder="1" applyAlignment="1">
      <alignment horizontal="left" vertical="center"/>
    </xf>
    <xf numFmtId="0" fontId="1" fillId="5" borderId="17" xfId="1" quotePrefix="1" applyFill="1" applyBorder="1" applyAlignment="1">
      <alignment horizontal="left" vertical="center"/>
    </xf>
    <xf numFmtId="0" fontId="1" fillId="8" borderId="17" xfId="1" applyFill="1" applyBorder="1" applyAlignment="1">
      <alignment horizontal="left" vertical="center"/>
    </xf>
    <xf numFmtId="0" fontId="24" fillId="3" borderId="17" xfId="1" applyFont="1" applyFill="1" applyBorder="1" applyAlignment="1">
      <alignment horizontal="left"/>
    </xf>
    <xf numFmtId="0" fontId="1" fillId="13" borderId="17" xfId="1" applyFill="1" applyBorder="1"/>
    <xf numFmtId="167" fontId="1" fillId="13" borderId="17" xfId="1" quotePrefix="1" applyNumberFormat="1" applyFill="1" applyBorder="1" applyAlignment="1">
      <alignment horizontal="left" vertical="justify"/>
    </xf>
    <xf numFmtId="0" fontId="1" fillId="13" borderId="17" xfId="1" quotePrefix="1" applyFill="1" applyBorder="1" applyAlignment="1">
      <alignment horizontal="left"/>
    </xf>
    <xf numFmtId="0" fontId="1" fillId="9" borderId="17" xfId="1" applyFill="1" applyBorder="1" applyAlignment="1">
      <alignment horizontal="left" vertical="center"/>
    </xf>
    <xf numFmtId="0" fontId="1" fillId="9" borderId="17" xfId="1" applyFill="1" applyBorder="1"/>
    <xf numFmtId="0" fontId="8" fillId="9" borderId="17" xfId="2" applyFill="1" applyBorder="1" applyAlignment="1">
      <alignment horizontal="left"/>
    </xf>
    <xf numFmtId="0" fontId="0" fillId="5" borderId="18" xfId="0" applyFill="1" applyBorder="1"/>
    <xf numFmtId="0" fontId="0" fillId="5" borderId="19" xfId="0" quotePrefix="1" applyFill="1" applyBorder="1"/>
  </cellXfs>
  <cellStyles count="5">
    <cellStyle name="Hypertextový odkaz" xfId="1" builtinId="8"/>
    <cellStyle name="Normální" xfId="0" builtinId="0"/>
    <cellStyle name="Normální 2" xfId="2" xr:uid="{CE85BAAA-2BA1-4B58-ABF8-CAA660C122B3}"/>
    <cellStyle name="Normální 3" xfId="3" xr:uid="{EFDB1FA3-85F3-4604-ABC9-88134A4CB30B}"/>
    <cellStyle name="Normální 4" xfId="4" xr:uid="{52F781DE-827B-449A-B41D-DE29BB229FEB}"/>
  </cellStyles>
  <dxfs count="9">
    <dxf>
      <font>
        <b/>
      </font>
      <fill>
        <patternFill>
          <bgColor theme="5" tint="-0.24994659260841701"/>
        </patternFill>
      </fill>
    </dxf>
    <dxf>
      <font>
        <b/>
      </font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ont>
        <b/>
      </font>
      <fill>
        <patternFill>
          <bgColor theme="5" tint="-0.24994659260841701"/>
        </patternFill>
      </fill>
    </dxf>
    <dxf>
      <font>
        <b/>
      </font>
      <fill>
        <patternFill>
          <bgColor theme="5" tint="-0.24994659260841701"/>
        </patternFill>
      </fill>
    </dxf>
    <dxf>
      <font>
        <b/>
      </font>
      <fill>
        <patternFill>
          <bgColor theme="5" tint="-0.24994659260841701"/>
        </patternFill>
      </fill>
    </dxf>
    <dxf>
      <font>
        <b/>
      </font>
      <fill>
        <patternFill>
          <bgColor theme="5" tint="-0.24994659260841701"/>
        </patternFill>
      </fill>
    </dxf>
    <dxf>
      <font>
        <b/>
      </font>
      <fill>
        <patternFill>
          <bgColor theme="5" tint="-0.24994659260841701"/>
        </patternFill>
      </fill>
    </dxf>
    <dxf>
      <font>
        <b/>
      </font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onza\Documents\13_Programming\HTML\WEB_modular\MWv10\00%20-%20Seznam2024%20(Vse).xlsx" TargetMode="External"/><Relationship Id="rId1" Type="http://schemas.openxmlformats.org/officeDocument/2006/relationships/externalLinkPath" Target="00%20-%20Seznam2024%20(Vs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še"/>
      <sheetName val="2025&amp;UTZ"/>
      <sheetName val="Tel.sez."/>
      <sheetName val="PZ a UTZ"/>
      <sheetName val="SZO PZS"/>
      <sheetName val="Stavba &lt;5let"/>
      <sheetName val="ZávadyRZ"/>
      <sheetName val="Vzorce_test"/>
      <sheetName val="Vzorce"/>
      <sheetName val="Sděl."/>
      <sheetName val="2025"/>
      <sheetName val="Docházka"/>
      <sheetName val="2024"/>
      <sheetName val="Info"/>
      <sheetName val="Paths"/>
      <sheetName val="PZ a UTZ_orig"/>
    </sheetNames>
    <sheetDataSet>
      <sheetData sheetId="0"/>
      <sheetData sheetId="1"/>
      <sheetData sheetId="2"/>
      <sheetData sheetId="3">
        <row r="2">
          <cell r="E2" t="str">
            <v>km</v>
          </cell>
          <cell r="F2" t="str">
            <v>typ</v>
          </cell>
          <cell r="G2" t="str">
            <v>číslo PZ</v>
          </cell>
          <cell r="H2" t="str">
            <v>Poslední protokol UTZ</v>
          </cell>
        </row>
        <row r="3">
          <cell r="E3" t="str">
            <v>10,077</v>
          </cell>
          <cell r="F3" t="str">
            <v>PZZ-RE (AZ)</v>
          </cell>
          <cell r="G3" t="str">
            <v>PZ 0766/19-E.49</v>
          </cell>
          <cell r="H3">
            <v>43585</v>
          </cell>
        </row>
        <row r="4">
          <cell r="E4" t="str">
            <v>10,504</v>
          </cell>
          <cell r="F4" t="str">
            <v>PZZ-K (AZ)</v>
          </cell>
          <cell r="G4" t="str">
            <v>PZ 1437/21-E.49</v>
          </cell>
          <cell r="H4">
            <v>44495</v>
          </cell>
        </row>
        <row r="5">
          <cell r="E5" t="str">
            <v>12,637</v>
          </cell>
          <cell r="F5" t="str">
            <v>PZZ-RE</v>
          </cell>
          <cell r="G5" t="str">
            <v>PZ 1710/20-E.49</v>
          </cell>
          <cell r="H5">
            <v>44067</v>
          </cell>
        </row>
        <row r="6">
          <cell r="E6" t="str">
            <v>12,846</v>
          </cell>
          <cell r="F6" t="str">
            <v>PZZ-RE</v>
          </cell>
          <cell r="G6" t="str">
            <v>PZ 1712/20-E.49</v>
          </cell>
          <cell r="H6">
            <v>44067</v>
          </cell>
        </row>
        <row r="7">
          <cell r="E7">
            <v>13.930999999999999</v>
          </cell>
          <cell r="F7" t="str">
            <v>PZZ-RE</v>
          </cell>
          <cell r="G7" t="str">
            <v>PZ 1403/19-E.49</v>
          </cell>
          <cell r="H7">
            <v>43760</v>
          </cell>
        </row>
        <row r="8">
          <cell r="E8">
            <v>13.852</v>
          </cell>
          <cell r="F8" t="str">
            <v>PZZ-RE (AZ)</v>
          </cell>
          <cell r="G8" t="str">
            <v>PZ 1404/19-E.49</v>
          </cell>
          <cell r="H8">
            <v>43760</v>
          </cell>
        </row>
        <row r="9">
          <cell r="E9" t="str">
            <v>15,054</v>
          </cell>
          <cell r="F9" t="str">
            <v>PZZ-RE</v>
          </cell>
          <cell r="G9" t="str">
            <v>PZ 0767/21-E.49</v>
          </cell>
          <cell r="H9">
            <v>44544</v>
          </cell>
        </row>
        <row r="10">
          <cell r="E10" t="str">
            <v>15,555</v>
          </cell>
          <cell r="F10" t="str">
            <v>PZZ-AC</v>
          </cell>
          <cell r="G10" t="str">
            <v>PZ 0888/07-E.49</v>
          </cell>
          <cell r="H10">
            <v>44648</v>
          </cell>
        </row>
        <row r="11">
          <cell r="E11" t="str">
            <v>16,006</v>
          </cell>
          <cell r="F11" t="str">
            <v>PZZ-RE (AZ)</v>
          </cell>
          <cell r="G11" t="str">
            <v>PZ 0745/21-E.49</v>
          </cell>
          <cell r="H11">
            <v>44491</v>
          </cell>
        </row>
        <row r="12">
          <cell r="E12" t="str">
            <v>16,669</v>
          </cell>
          <cell r="F12" t="str">
            <v>PZZ-AC</v>
          </cell>
          <cell r="G12" t="str">
            <v>PZ 0889/07-E.49</v>
          </cell>
          <cell r="H12">
            <v>44648</v>
          </cell>
        </row>
        <row r="13">
          <cell r="E13" t="str">
            <v>16,948</v>
          </cell>
          <cell r="F13" t="str">
            <v>PZZ-AC</v>
          </cell>
          <cell r="G13" t="str">
            <v>PZ 0890/07-E.49</v>
          </cell>
          <cell r="H13">
            <v>44648</v>
          </cell>
        </row>
        <row r="14">
          <cell r="E14" t="str">
            <v>17,588</v>
          </cell>
          <cell r="F14" t="str">
            <v>PZZ-RE</v>
          </cell>
          <cell r="G14" t="str">
            <v>PZ 0723/17-E.49</v>
          </cell>
          <cell r="H14">
            <v>44613</v>
          </cell>
        </row>
        <row r="15">
          <cell r="E15" t="str">
            <v>17,904</v>
          </cell>
          <cell r="F15" t="str">
            <v>PZZ-RE</v>
          </cell>
          <cell r="G15" t="str">
            <v>PZ 0724/17-E.49</v>
          </cell>
          <cell r="H15">
            <v>44613</v>
          </cell>
        </row>
        <row r="16">
          <cell r="E16" t="str">
            <v>18,397</v>
          </cell>
          <cell r="F16" t="str">
            <v>PZZ-RE</v>
          </cell>
          <cell r="G16" t="str">
            <v>PZ 0725/17-E.49</v>
          </cell>
          <cell r="H16">
            <v>44613</v>
          </cell>
        </row>
        <row r="17">
          <cell r="E17" t="str">
            <v>19,373</v>
          </cell>
          <cell r="F17" t="str">
            <v>PZZ-RE (AZ)</v>
          </cell>
          <cell r="G17" t="str">
            <v>PZ 1839/19-E.49</v>
          </cell>
          <cell r="H17">
            <v>43752</v>
          </cell>
        </row>
        <row r="18">
          <cell r="E18" t="str">
            <v>3,618</v>
          </cell>
          <cell r="F18" t="str">
            <v>PZZ-RE</v>
          </cell>
          <cell r="G18" t="str">
            <v>PZ 1712/17-E.49</v>
          </cell>
          <cell r="H18">
            <v>44811</v>
          </cell>
        </row>
        <row r="19">
          <cell r="E19" t="str">
            <v>3,975</v>
          </cell>
          <cell r="F19" t="str">
            <v>PZZ-RE</v>
          </cell>
          <cell r="G19" t="str">
            <v>PZ 1713/17-E.49</v>
          </cell>
          <cell r="H19">
            <v>44811</v>
          </cell>
        </row>
        <row r="23">
          <cell r="E23" t="str">
            <v>km</v>
          </cell>
          <cell r="F23" t="str">
            <v>typ</v>
          </cell>
          <cell r="G23" t="str">
            <v>číslo PZ</v>
          </cell>
          <cell r="H23" t="str">
            <v>Poslední protokol UTZ</v>
          </cell>
        </row>
        <row r="24">
          <cell r="E24">
            <v>0.34799999999999998</v>
          </cell>
          <cell r="F24" t="str">
            <v>PZZ-RE (AZ)</v>
          </cell>
          <cell r="G24" t="str">
            <v>PZ 0800/13-E.49</v>
          </cell>
          <cell r="H24">
            <v>44854</v>
          </cell>
        </row>
        <row r="25">
          <cell r="E25">
            <v>1.81</v>
          </cell>
          <cell r="F25" t="str">
            <v>PZZ-K</v>
          </cell>
          <cell r="G25" t="str">
            <v>PZ 2001/16-E.49</v>
          </cell>
          <cell r="H25">
            <v>44476</v>
          </cell>
        </row>
        <row r="26">
          <cell r="E26">
            <v>2.3319999999999999</v>
          </cell>
          <cell r="F26" t="str">
            <v>PZZ-K</v>
          </cell>
          <cell r="G26" t="str">
            <v>PZ 2002/16-E.49</v>
          </cell>
          <cell r="H26">
            <v>44476</v>
          </cell>
        </row>
        <row r="27">
          <cell r="E27">
            <v>2.6560000000000001</v>
          </cell>
          <cell r="F27" t="str">
            <v>PZZ-K</v>
          </cell>
          <cell r="G27" t="str">
            <v>PZ 2003/16-E.49</v>
          </cell>
          <cell r="H27">
            <v>44476</v>
          </cell>
        </row>
        <row r="28">
          <cell r="E28">
            <v>3.097</v>
          </cell>
          <cell r="F28" t="str">
            <v>PZZ-K</v>
          </cell>
          <cell r="G28" t="str">
            <v>PZ 2004/16-E.49</v>
          </cell>
          <cell r="H28">
            <v>44476</v>
          </cell>
        </row>
        <row r="29">
          <cell r="E29" t="str">
            <v>3,892 (3,900)</v>
          </cell>
          <cell r="F29" t="str">
            <v>PZZ-K</v>
          </cell>
          <cell r="G29" t="str">
            <v>PZ 1911/07-E.49</v>
          </cell>
          <cell r="H29">
            <v>44804</v>
          </cell>
        </row>
        <row r="30">
          <cell r="E30">
            <v>4.7309999999999999</v>
          </cell>
          <cell r="F30" t="str">
            <v>PZZ-K</v>
          </cell>
          <cell r="G30" t="str">
            <v>PZ 2008/16-E.49</v>
          </cell>
          <cell r="H30">
            <v>44476</v>
          </cell>
        </row>
        <row r="31">
          <cell r="E31">
            <v>5.0039999999999996</v>
          </cell>
          <cell r="F31" t="str">
            <v>PZZ-K</v>
          </cell>
          <cell r="G31" t="str">
            <v>PZ 2009/16-E.49</v>
          </cell>
          <cell r="H31">
            <v>44476</v>
          </cell>
        </row>
        <row r="32">
          <cell r="E32" t="str">
            <v>5,172+ 5,204</v>
          </cell>
          <cell r="F32" t="str">
            <v>PZZ-K (AZ)</v>
          </cell>
          <cell r="G32" t="str">
            <v>PZ 2010/16-E.49</v>
          </cell>
          <cell r="H32">
            <v>44476</v>
          </cell>
        </row>
        <row r="33">
          <cell r="E33">
            <v>5.4109999999999996</v>
          </cell>
          <cell r="F33" t="str">
            <v>PZZ-K</v>
          </cell>
          <cell r="G33" t="str">
            <v>PZ 2011/16-E.49</v>
          </cell>
          <cell r="H33">
            <v>44476</v>
          </cell>
        </row>
        <row r="34">
          <cell r="E34">
            <v>6.2619999999999996</v>
          </cell>
          <cell r="F34" t="str">
            <v>PZZ-K</v>
          </cell>
          <cell r="G34" t="str">
            <v>PZ 2012/16-E.49</v>
          </cell>
          <cell r="H34">
            <v>44476</v>
          </cell>
        </row>
        <row r="35">
          <cell r="E35">
            <v>6.8970000000000002</v>
          </cell>
          <cell r="F35" t="str">
            <v>PZZ-K</v>
          </cell>
          <cell r="G35" t="str">
            <v>PZ 2013/16-E.49</v>
          </cell>
          <cell r="H35">
            <v>44476</v>
          </cell>
        </row>
        <row r="36">
          <cell r="E36">
            <v>7.1</v>
          </cell>
          <cell r="F36" t="str">
            <v>PZZ-K</v>
          </cell>
          <cell r="G36" t="str">
            <v>PZ 2014/16-E.49</v>
          </cell>
          <cell r="H36">
            <v>44476</v>
          </cell>
        </row>
        <row r="37">
          <cell r="E37" t="str">
            <v>8,917 (8,583)</v>
          </cell>
          <cell r="F37" t="str">
            <v>PZZ-RE</v>
          </cell>
          <cell r="G37" t="str">
            <v>PZ 1918/06-E.49</v>
          </cell>
          <cell r="H37">
            <v>44260</v>
          </cell>
        </row>
        <row r="38">
          <cell r="E38" t="str">
            <v>9,692 (9,355)</v>
          </cell>
          <cell r="F38" t="str">
            <v>PZZ-RE</v>
          </cell>
          <cell r="G38" t="str">
            <v>PZ 1919/06-E.49</v>
          </cell>
          <cell r="H38">
            <v>44260</v>
          </cell>
        </row>
        <row r="39">
          <cell r="E39">
            <v>11.058</v>
          </cell>
          <cell r="F39" t="str">
            <v>PZZ-K</v>
          </cell>
          <cell r="G39" t="str">
            <v>PZ 2015/16-E.49</v>
          </cell>
          <cell r="H39">
            <v>44476</v>
          </cell>
        </row>
        <row r="40">
          <cell r="E40">
            <v>11.377000000000001</v>
          </cell>
          <cell r="F40" t="str">
            <v>PZZ-K</v>
          </cell>
          <cell r="G40" t="str">
            <v>PZ 2016/16-E.49</v>
          </cell>
          <cell r="H40">
            <v>44476</v>
          </cell>
        </row>
        <row r="41">
          <cell r="E41">
            <v>11.718999999999999</v>
          </cell>
          <cell r="F41" t="str">
            <v>PZZ-K</v>
          </cell>
          <cell r="G41" t="str">
            <v>PZ 2017/16-E.49</v>
          </cell>
          <cell r="H41">
            <v>44476</v>
          </cell>
        </row>
        <row r="42">
          <cell r="E42">
            <v>12.164999999999999</v>
          </cell>
          <cell r="F42" t="str">
            <v>PZZ-K</v>
          </cell>
          <cell r="G42" t="str">
            <v>PZ 2018/16-E.49</v>
          </cell>
          <cell r="H42">
            <v>44476</v>
          </cell>
        </row>
        <row r="43">
          <cell r="E43">
            <v>12.361000000000001</v>
          </cell>
          <cell r="F43" t="str">
            <v>PZZ-K</v>
          </cell>
          <cell r="G43" t="str">
            <v>PZ 2019/16-E.49</v>
          </cell>
          <cell r="H43">
            <v>44476</v>
          </cell>
        </row>
        <row r="44">
          <cell r="E44">
            <v>12.933</v>
          </cell>
          <cell r="F44" t="str">
            <v>PZZ-K</v>
          </cell>
          <cell r="G44" t="str">
            <v>PZ 2020/16-E.49</v>
          </cell>
          <cell r="H44">
            <v>44476</v>
          </cell>
        </row>
        <row r="45">
          <cell r="E45" t="str">
            <v>14,464 (14,471)</v>
          </cell>
          <cell r="F45" t="str">
            <v>PZZ-RE</v>
          </cell>
          <cell r="G45" t="str">
            <v>PZ 0951/23-E.49</v>
          </cell>
          <cell r="H45">
            <v>45099</v>
          </cell>
        </row>
        <row r="46">
          <cell r="E46">
            <v>15.05</v>
          </cell>
          <cell r="F46" t="str">
            <v>PZZ-RE (AZ)</v>
          </cell>
          <cell r="G46" t="str">
            <v>PZ 0952/23-E.49</v>
          </cell>
          <cell r="H46">
            <v>45099</v>
          </cell>
        </row>
        <row r="47">
          <cell r="E47">
            <v>19.486999999999998</v>
          </cell>
          <cell r="F47" t="str">
            <v>PZZ-RE (AZ)</v>
          </cell>
          <cell r="G47" t="str">
            <v>PZ 0954/23-E-49</v>
          </cell>
          <cell r="H47">
            <v>45099</v>
          </cell>
        </row>
        <row r="48">
          <cell r="E48">
            <v>20.516999999999999</v>
          </cell>
          <cell r="F48" t="str">
            <v>PZZ-RE (AZ)</v>
          </cell>
          <cell r="G48" t="str">
            <v>PZ 0955/23-E.49</v>
          </cell>
          <cell r="H48">
            <v>45099</v>
          </cell>
        </row>
        <row r="49">
          <cell r="E49">
            <v>21.175999999999998</v>
          </cell>
          <cell r="F49" t="str">
            <v>PZZ-RE</v>
          </cell>
          <cell r="G49" t="str">
            <v>PZ 747/12-E.49</v>
          </cell>
          <cell r="H49">
            <v>44679</v>
          </cell>
        </row>
        <row r="50">
          <cell r="E50">
            <v>22.388000000000002</v>
          </cell>
          <cell r="F50" t="str">
            <v>PZZ-RE</v>
          </cell>
          <cell r="G50" t="str">
            <v>PZ 748/12-E.49</v>
          </cell>
          <cell r="H50">
            <v>44679</v>
          </cell>
        </row>
        <row r="51">
          <cell r="E51">
            <v>23.486999999999998</v>
          </cell>
          <cell r="F51" t="str">
            <v>PZZ-RE (AZ)</v>
          </cell>
          <cell r="G51" t="str">
            <v>PZ 0983/22-E.49</v>
          </cell>
          <cell r="H51">
            <v>44713</v>
          </cell>
        </row>
        <row r="52">
          <cell r="E52">
            <v>24.4</v>
          </cell>
          <cell r="F52" t="str">
            <v>PZZ-RE (AZ)</v>
          </cell>
          <cell r="G52" t="str">
            <v>PZ 0984/22-E.49</v>
          </cell>
          <cell r="H52">
            <v>44713</v>
          </cell>
        </row>
        <row r="56">
          <cell r="E56" t="str">
            <v>km</v>
          </cell>
          <cell r="F56" t="str">
            <v>typ</v>
          </cell>
          <cell r="G56" t="str">
            <v>číslo PZ</v>
          </cell>
          <cell r="H56" t="str">
            <v>Poslední protokol UTZ</v>
          </cell>
        </row>
        <row r="57">
          <cell r="E57">
            <v>117.86</v>
          </cell>
          <cell r="F57" t="str">
            <v>AŽD 71 + E.D. (AZ)</v>
          </cell>
          <cell r="G57" t="str">
            <v>PZ 10150/96-E.49</v>
          </cell>
          <cell r="H57">
            <v>44951</v>
          </cell>
        </row>
        <row r="58">
          <cell r="E58" t="str">
            <v>120,593+120,627</v>
          </cell>
          <cell r="F58" t="str">
            <v>AŽD 71 + E.D.</v>
          </cell>
          <cell r="G58" t="str">
            <v>PZ 10322/96-E.49</v>
          </cell>
          <cell r="H58">
            <v>44342</v>
          </cell>
        </row>
        <row r="59">
          <cell r="E59">
            <v>122.02200000000001</v>
          </cell>
          <cell r="F59" t="str">
            <v>AŽD 71 (AZ)</v>
          </cell>
          <cell r="G59" t="str">
            <v>PZ 10323/96-E.49</v>
          </cell>
          <cell r="H59">
            <v>44670</v>
          </cell>
        </row>
        <row r="60">
          <cell r="E60">
            <v>122.72199999999999</v>
          </cell>
          <cell r="F60" t="str">
            <v>AŽD 71 (AZ)</v>
          </cell>
          <cell r="G60" t="str">
            <v>PZ 2832/02-E.49</v>
          </cell>
          <cell r="H60">
            <v>44812</v>
          </cell>
        </row>
        <row r="61">
          <cell r="E61">
            <v>123.613</v>
          </cell>
          <cell r="F61" t="str">
            <v>PZZ-K (AZ)</v>
          </cell>
          <cell r="G61" t="str">
            <v>PZ 0968/08-E.49</v>
          </cell>
          <cell r="H61">
            <v>45187</v>
          </cell>
        </row>
        <row r="62">
          <cell r="E62">
            <v>124.88200000000001</v>
          </cell>
          <cell r="F62" t="str">
            <v>AŽD 71</v>
          </cell>
          <cell r="G62" t="str">
            <v>PZ 10325/96-E.49</v>
          </cell>
          <cell r="H62">
            <v>44342</v>
          </cell>
        </row>
        <row r="63">
          <cell r="E63">
            <v>127.88500000000001</v>
          </cell>
          <cell r="F63" t="str">
            <v>AŽD 71</v>
          </cell>
          <cell r="G63" t="str">
            <v>PZ 10326/96-E.49</v>
          </cell>
          <cell r="H63">
            <v>44342</v>
          </cell>
        </row>
        <row r="64">
          <cell r="E64">
            <v>129.54499999999999</v>
          </cell>
          <cell r="F64" t="str">
            <v>AŽD 71</v>
          </cell>
          <cell r="G64" t="str">
            <v>PZ 10327/96-E.49</v>
          </cell>
          <cell r="H64">
            <v>44356</v>
          </cell>
        </row>
        <row r="65">
          <cell r="E65">
            <v>134.661</v>
          </cell>
          <cell r="F65" t="str">
            <v>AŽD 71</v>
          </cell>
          <cell r="G65" t="str">
            <v>PZ 10328/96-E.49</v>
          </cell>
          <cell r="H65">
            <v>44356</v>
          </cell>
        </row>
        <row r="66">
          <cell r="E66">
            <v>135.95699999999999</v>
          </cell>
          <cell r="F66" t="str">
            <v>AŽD 71</v>
          </cell>
          <cell r="G66" t="str">
            <v>PZ 10329/96-E.49</v>
          </cell>
          <cell r="H66">
            <v>44356</v>
          </cell>
        </row>
        <row r="67">
          <cell r="E67">
            <v>136.464</v>
          </cell>
          <cell r="F67" t="str">
            <v>AŽD 71</v>
          </cell>
          <cell r="G67" t="str">
            <v>PZ 10330/96-E.49</v>
          </cell>
          <cell r="H67">
            <v>44356</v>
          </cell>
        </row>
        <row r="68">
          <cell r="E68">
            <v>137.47300000000001</v>
          </cell>
          <cell r="F68" t="str">
            <v>AŽD 71</v>
          </cell>
          <cell r="G68" t="str">
            <v>PZ 10331/96-E.49</v>
          </cell>
          <cell r="H68">
            <v>44356</v>
          </cell>
        </row>
        <row r="69">
          <cell r="E69">
            <v>141.40299999999999</v>
          </cell>
          <cell r="F69" t="str">
            <v>PZZ-RE</v>
          </cell>
          <cell r="G69" t="str">
            <v>PZ 727/12-E.49</v>
          </cell>
          <cell r="H69">
            <v>44361</v>
          </cell>
        </row>
        <row r="70">
          <cell r="E70">
            <v>142.86099999999999</v>
          </cell>
          <cell r="F70" t="str">
            <v>AŽD 71 (AZ)</v>
          </cell>
          <cell r="G70" t="str">
            <v>PZ 4891/97-E.49</v>
          </cell>
          <cell r="H70">
            <v>44743</v>
          </cell>
        </row>
        <row r="71">
          <cell r="E71">
            <v>142.94900000000001</v>
          </cell>
          <cell r="F71" t="str">
            <v>AŽD 71 (AZ)</v>
          </cell>
          <cell r="G71" t="str">
            <v>PZ 4892/97-E.49</v>
          </cell>
          <cell r="H71">
            <v>44743</v>
          </cell>
        </row>
        <row r="72">
          <cell r="E72">
            <v>147.999</v>
          </cell>
          <cell r="F72" t="str">
            <v>AŽD 71 + E.D.</v>
          </cell>
          <cell r="G72" t="str">
            <v>PZ 12060/96-E.49</v>
          </cell>
          <cell r="H72">
            <v>44336</v>
          </cell>
        </row>
        <row r="73">
          <cell r="E73">
            <v>148.28</v>
          </cell>
          <cell r="F73" t="str">
            <v>AŽD 71</v>
          </cell>
          <cell r="G73" t="str">
            <v>PZ 12061/96-E.49</v>
          </cell>
          <cell r="H73">
            <v>44336</v>
          </cell>
        </row>
        <row r="74">
          <cell r="E74">
            <v>148.471</v>
          </cell>
          <cell r="F74" t="str">
            <v>AŽD 71</v>
          </cell>
          <cell r="G74" t="str">
            <v>PZ 12062/96-E.49</v>
          </cell>
          <cell r="H74">
            <v>44235</v>
          </cell>
        </row>
        <row r="75">
          <cell r="E75">
            <v>150.637</v>
          </cell>
          <cell r="F75" t="str">
            <v>AŽD 71 + E.D.</v>
          </cell>
          <cell r="G75" t="str">
            <v>PZ 12063/96-E.49</v>
          </cell>
          <cell r="H75">
            <v>44231</v>
          </cell>
        </row>
        <row r="76">
          <cell r="E76">
            <v>153.06700000000001</v>
          </cell>
          <cell r="F76" t="str">
            <v>PZZ-K</v>
          </cell>
          <cell r="G76" t="str">
            <v>PZ 0565/06-E.49</v>
          </cell>
          <cell r="H76">
            <v>44231</v>
          </cell>
        </row>
        <row r="77">
          <cell r="E77">
            <v>155.006</v>
          </cell>
          <cell r="F77" t="str">
            <v>AŽD 71 + E.D.</v>
          </cell>
          <cell r="G77" t="str">
            <v>PZ 2841/02-E.49</v>
          </cell>
          <cell r="H77">
            <v>44763</v>
          </cell>
        </row>
        <row r="78">
          <cell r="E78">
            <v>156.256</v>
          </cell>
          <cell r="F78" t="str">
            <v>AŽD 71 + E.D.</v>
          </cell>
          <cell r="G78" t="str">
            <v>PZ 10332/96-E.49</v>
          </cell>
          <cell r="H78">
            <v>44340</v>
          </cell>
        </row>
        <row r="79">
          <cell r="E79">
            <v>157.25899999999999</v>
          </cell>
          <cell r="F79" t="str">
            <v>AŽD 71 + E.D.</v>
          </cell>
          <cell r="G79" t="str">
            <v>PZ 10333/96-E.49</v>
          </cell>
          <cell r="H79">
            <v>44340</v>
          </cell>
        </row>
        <row r="80">
          <cell r="E80">
            <v>158.84</v>
          </cell>
          <cell r="F80" t="str">
            <v>AŽD 71 + E.D.</v>
          </cell>
          <cell r="G80" t="str">
            <v>PZ 10334/96-E.49</v>
          </cell>
          <cell r="H80">
            <v>44340</v>
          </cell>
        </row>
        <row r="81">
          <cell r="E81">
            <v>159.07400000000001</v>
          </cell>
          <cell r="F81" t="str">
            <v>AŽD 71 + E.D.</v>
          </cell>
          <cell r="G81" t="str">
            <v>PZ 10335/96-E.49</v>
          </cell>
          <cell r="H81">
            <v>44340</v>
          </cell>
        </row>
        <row r="82">
          <cell r="E82">
            <v>160.23099999999999</v>
          </cell>
          <cell r="F82" t="str">
            <v>AŽD 71 + E.D.</v>
          </cell>
          <cell r="G82" t="str">
            <v>PZ 10336/96-E.49</v>
          </cell>
          <cell r="H82">
            <v>44334</v>
          </cell>
        </row>
        <row r="83">
          <cell r="E83">
            <v>160.941</v>
          </cell>
          <cell r="F83" t="str">
            <v>AŽD 71 + E.D.</v>
          </cell>
          <cell r="G83" t="str">
            <v>PZ 10337/96-E.49</v>
          </cell>
          <cell r="H83">
            <v>44334</v>
          </cell>
        </row>
        <row r="84">
          <cell r="E84">
            <v>161.291</v>
          </cell>
          <cell r="F84" t="str">
            <v>AŽD 71 + E.D.</v>
          </cell>
          <cell r="G84" t="str">
            <v>PZ 10338/96-E.49</v>
          </cell>
          <cell r="H84">
            <v>44334</v>
          </cell>
        </row>
        <row r="85">
          <cell r="E85">
            <v>162.61000000000001</v>
          </cell>
          <cell r="F85" t="str">
            <v>AŽD 71 + E.D.</v>
          </cell>
          <cell r="G85" t="str">
            <v>PZ 10339/96-E.49</v>
          </cell>
          <cell r="H85">
            <v>44334</v>
          </cell>
        </row>
        <row r="86">
          <cell r="E86">
            <v>166.435</v>
          </cell>
          <cell r="F86" t="str">
            <v>AŽD 71</v>
          </cell>
          <cell r="G86" t="str">
            <v>PZ 12065/96-E.49</v>
          </cell>
          <cell r="H86">
            <v>44362</v>
          </cell>
        </row>
        <row r="87">
          <cell r="E87">
            <v>166.995</v>
          </cell>
          <cell r="F87" t="str">
            <v>PZZ-RE (AZ)</v>
          </cell>
          <cell r="G87" t="str">
            <v>PZ 0469/13-E.49</v>
          </cell>
          <cell r="H87">
            <v>44896</v>
          </cell>
        </row>
        <row r="88">
          <cell r="E88">
            <v>168.87100000000001</v>
          </cell>
          <cell r="F88" t="str">
            <v>AŽD 71 + E.D.</v>
          </cell>
          <cell r="G88" t="str">
            <v>PZ 12067/96-E.49</v>
          </cell>
          <cell r="H88">
            <v>44362</v>
          </cell>
        </row>
        <row r="89">
          <cell r="E89">
            <v>169.46700000000001</v>
          </cell>
          <cell r="F89" t="str">
            <v>PZZ-RE</v>
          </cell>
          <cell r="G89" t="str">
            <v>PZ 0499/13-E.49</v>
          </cell>
          <cell r="H89">
            <v>44950</v>
          </cell>
        </row>
        <row r="90">
          <cell r="E90">
            <v>169.869</v>
          </cell>
          <cell r="F90" t="str">
            <v>AŽD 71 + E.D.</v>
          </cell>
          <cell r="G90" t="str">
            <v>PZ 12069/96-E.49</v>
          </cell>
          <cell r="H90">
            <v>44406</v>
          </cell>
        </row>
        <row r="91">
          <cell r="E91">
            <v>171.316</v>
          </cell>
          <cell r="F91" t="str">
            <v>AŽD 71 + E.D.</v>
          </cell>
          <cell r="G91" t="str">
            <v>PZ 12070/96-E.49</v>
          </cell>
          <cell r="H91">
            <v>44406</v>
          </cell>
        </row>
        <row r="92">
          <cell r="E92">
            <v>171.661</v>
          </cell>
          <cell r="F92" t="str">
            <v>AŽD 71 + E.D.</v>
          </cell>
          <cell r="G92" t="str">
            <v>PZ 12071/96-E.49</v>
          </cell>
          <cell r="H92">
            <v>44406</v>
          </cell>
        </row>
        <row r="93">
          <cell r="E93">
            <v>176.20599999999999</v>
          </cell>
          <cell r="F93" t="str">
            <v>PZZ-K</v>
          </cell>
          <cell r="G93" t="str">
            <v>PZ 1447/07-E.49</v>
          </cell>
          <cell r="H93">
            <v>44697</v>
          </cell>
        </row>
        <row r="94">
          <cell r="E94">
            <v>177.52699999999999</v>
          </cell>
          <cell r="F94" t="str">
            <v>PZZ-K</v>
          </cell>
          <cell r="G94" t="str">
            <v>PZ 1448/07-E.49</v>
          </cell>
          <cell r="H94">
            <v>44697</v>
          </cell>
        </row>
        <row r="95">
          <cell r="E95">
            <v>180.09700000000001</v>
          </cell>
          <cell r="F95" t="str">
            <v>AŽD 71 + E.D.</v>
          </cell>
          <cell r="G95" t="str">
            <v>PZ 12072/96-E.49</v>
          </cell>
          <cell r="H95">
            <v>44428</v>
          </cell>
        </row>
        <row r="96">
          <cell r="E96">
            <v>180.64</v>
          </cell>
          <cell r="F96" t="str">
            <v>AŽD 71 + E.D.</v>
          </cell>
          <cell r="G96" t="str">
            <v>PZ 12073/96-E.49</v>
          </cell>
          <cell r="H96">
            <v>44428</v>
          </cell>
        </row>
        <row r="100">
          <cell r="E100" t="str">
            <v>km</v>
          </cell>
          <cell r="F100" t="str">
            <v>typ</v>
          </cell>
          <cell r="G100" t="str">
            <v>číslo PZ</v>
          </cell>
          <cell r="H100" t="str">
            <v>Poslední protokol UTZ</v>
          </cell>
        </row>
        <row r="101">
          <cell r="E101">
            <v>9.4260000000000002</v>
          </cell>
          <cell r="F101" t="str">
            <v>PZZ-RE (AZ)</v>
          </cell>
          <cell r="G101" t="str">
            <v>PZ 1079/13-E.49</v>
          </cell>
          <cell r="H101">
            <v>45105</v>
          </cell>
        </row>
        <row r="105">
          <cell r="E105" t="str">
            <v>km</v>
          </cell>
          <cell r="F105" t="str">
            <v>typ</v>
          </cell>
          <cell r="G105" t="str">
            <v>číslo PZ</v>
          </cell>
          <cell r="H105" t="str">
            <v>Poslední protokol UTZ</v>
          </cell>
        </row>
        <row r="106">
          <cell r="E106">
            <v>8.8529999999999998</v>
          </cell>
          <cell r="F106" t="str">
            <v>PZZ-RE</v>
          </cell>
          <cell r="G106" t="str">
            <v>PZ 1733/12-E.49</v>
          </cell>
          <cell r="H106">
            <v>44743</v>
          </cell>
        </row>
        <row r="107">
          <cell r="E107">
            <v>10.231</v>
          </cell>
          <cell r="F107" t="str">
            <v>AŽD 71</v>
          </cell>
          <cell r="G107" t="str">
            <v>PZ 12075/96-E.49</v>
          </cell>
          <cell r="H107">
            <v>44399</v>
          </cell>
        </row>
        <row r="111">
          <cell r="E111" t="str">
            <v>km</v>
          </cell>
          <cell r="F111" t="str">
            <v>typ</v>
          </cell>
          <cell r="G111" t="str">
            <v>číslo PZ</v>
          </cell>
          <cell r="H111" t="str">
            <v>Poslední protokol UTZ</v>
          </cell>
        </row>
        <row r="112">
          <cell r="E112">
            <v>1.6890000000000001</v>
          </cell>
          <cell r="F112" t="str">
            <v>PZZ-EA</v>
          </cell>
          <cell r="G112" t="str">
            <v>PZ 2977/15-E.49</v>
          </cell>
          <cell r="H112">
            <v>44159</v>
          </cell>
        </row>
        <row r="113">
          <cell r="E113">
            <v>2.891</v>
          </cell>
          <cell r="F113" t="str">
            <v>PZZ-EA (AZ)</v>
          </cell>
          <cell r="G113" t="str">
            <v>PZ 3170/04-E.49</v>
          </cell>
          <cell r="H113">
            <v>43710</v>
          </cell>
        </row>
        <row r="114">
          <cell r="E114">
            <v>3.3039999999999998</v>
          </cell>
          <cell r="F114" t="str">
            <v>PZZ-EA (AZ)</v>
          </cell>
          <cell r="G114" t="str">
            <v>PZ 3169/04-E.49</v>
          </cell>
          <cell r="H114">
            <v>43710</v>
          </cell>
        </row>
        <row r="115">
          <cell r="E115">
            <v>3.5539999999999998</v>
          </cell>
          <cell r="F115" t="str">
            <v>PZZ-EA (AZ)</v>
          </cell>
          <cell r="G115" t="str">
            <v>PZ 3168/04-E.49</v>
          </cell>
          <cell r="H115">
            <v>43710</v>
          </cell>
        </row>
        <row r="116">
          <cell r="E116">
            <v>11.054</v>
          </cell>
          <cell r="F116" t="str">
            <v>PZZ-RE</v>
          </cell>
          <cell r="G116" t="str">
            <v>PZ 2974/15-E.49</v>
          </cell>
          <cell r="H116">
            <v>44158</v>
          </cell>
        </row>
        <row r="117">
          <cell r="E117">
            <v>15.664</v>
          </cell>
          <cell r="F117" t="str">
            <v>PZZ-AC</v>
          </cell>
          <cell r="G117" t="str">
            <v>PZ 2976/15-E.49</v>
          </cell>
          <cell r="H117">
            <v>44159</v>
          </cell>
        </row>
        <row r="118">
          <cell r="E118">
            <v>18.344999999999999</v>
          </cell>
          <cell r="F118" t="str">
            <v>PZZ-RE</v>
          </cell>
          <cell r="G118" t="str">
            <v>PZ 2975/15-E.49</v>
          </cell>
          <cell r="H118">
            <v>44158</v>
          </cell>
        </row>
        <row r="119">
          <cell r="E119">
            <v>22.856000000000002</v>
          </cell>
          <cell r="F119" t="str">
            <v>PZZ-AC</v>
          </cell>
          <cell r="G119" t="str">
            <v>PZ 2980/15-E.49</v>
          </cell>
          <cell r="H119">
            <v>44158</v>
          </cell>
        </row>
        <row r="120">
          <cell r="E120">
            <v>23.468</v>
          </cell>
          <cell r="F120" t="str">
            <v>PZZ-AC</v>
          </cell>
          <cell r="G120" t="str">
            <v>PZ 2979/15-E.49</v>
          </cell>
          <cell r="H120">
            <v>44158</v>
          </cell>
        </row>
        <row r="121">
          <cell r="E121">
            <v>26.073</v>
          </cell>
          <cell r="F121" t="str">
            <v>AŽD 71 + E.D.</v>
          </cell>
          <cell r="G121" t="str">
            <v>PZ 2648/03-E.49</v>
          </cell>
          <cell r="H121">
            <v>45106</v>
          </cell>
        </row>
        <row r="122">
          <cell r="E122">
            <v>26.888000000000002</v>
          </cell>
          <cell r="F122" t="str">
            <v>AŽD 71 + E.D.</v>
          </cell>
          <cell r="G122" t="str">
            <v>PZ 2649/03-E.49</v>
          </cell>
          <cell r="H122">
            <v>45106</v>
          </cell>
        </row>
        <row r="123">
          <cell r="E123">
            <v>27.547000000000001</v>
          </cell>
          <cell r="F123" t="str">
            <v>AŽD 71 + E.D.</v>
          </cell>
          <cell r="G123" t="str">
            <v>PZ 0552/04-E.49</v>
          </cell>
          <cell r="H123">
            <v>45106</v>
          </cell>
        </row>
        <row r="124">
          <cell r="E124">
            <v>33.378</v>
          </cell>
          <cell r="F124" t="str">
            <v>PZZ-AC</v>
          </cell>
          <cell r="G124" t="str">
            <v>PZ 2731/15-E.49</v>
          </cell>
          <cell r="H124">
            <v>44113</v>
          </cell>
        </row>
        <row r="125">
          <cell r="E125">
            <v>34.698</v>
          </cell>
          <cell r="F125" t="str">
            <v>PZZ-AC</v>
          </cell>
          <cell r="G125" t="str">
            <v>PZ 2732/15-E.49</v>
          </cell>
          <cell r="H125">
            <v>44113</v>
          </cell>
        </row>
        <row r="126">
          <cell r="E126">
            <v>37.308</v>
          </cell>
          <cell r="F126" t="str">
            <v>PZZ-K</v>
          </cell>
          <cell r="G126" t="str">
            <v>PZ 2565/09-E.49</v>
          </cell>
          <cell r="H126">
            <v>43629</v>
          </cell>
        </row>
        <row r="127">
          <cell r="E127">
            <v>37.848999999999997</v>
          </cell>
          <cell r="F127" t="str">
            <v>PZZ-K</v>
          </cell>
          <cell r="G127" t="str">
            <v>PZ 2566/09-E.49</v>
          </cell>
          <cell r="H127">
            <v>43631</v>
          </cell>
        </row>
        <row r="128">
          <cell r="E128">
            <v>39.136000000000003</v>
          </cell>
          <cell r="F128" t="str">
            <v>PZZ-K</v>
          </cell>
          <cell r="G128" t="str">
            <v>PZ 2567/09-E.49</v>
          </cell>
          <cell r="H128">
            <v>43629</v>
          </cell>
        </row>
        <row r="129">
          <cell r="E129">
            <v>41.112000000000002</v>
          </cell>
          <cell r="F129" t="str">
            <v>PZZ-AC (AZ)</v>
          </cell>
          <cell r="G129" t="str">
            <v>PZ 2733/15-E.49</v>
          </cell>
          <cell r="H129">
            <v>44123</v>
          </cell>
        </row>
        <row r="130">
          <cell r="E130">
            <v>42.996000000000002</v>
          </cell>
          <cell r="F130" t="str">
            <v>AŽD 71</v>
          </cell>
          <cell r="G130" t="str">
            <v>PZ 8333/96-E.49</v>
          </cell>
          <cell r="H130">
            <v>44099</v>
          </cell>
        </row>
        <row r="131">
          <cell r="E131">
            <v>44.499000000000002</v>
          </cell>
          <cell r="F131" t="str">
            <v>AŽD 71</v>
          </cell>
          <cell r="G131" t="str">
            <v>PZ 8332/96-E.49</v>
          </cell>
          <cell r="H131">
            <v>44099</v>
          </cell>
        </row>
        <row r="132">
          <cell r="E132">
            <v>45.039000000000001</v>
          </cell>
          <cell r="F132" t="str">
            <v>AŽD 71</v>
          </cell>
          <cell r="G132" t="str">
            <v>PZ 8331/96-E.49</v>
          </cell>
          <cell r="H132">
            <v>44099</v>
          </cell>
        </row>
        <row r="133">
          <cell r="E133">
            <v>45.331000000000003</v>
          </cell>
          <cell r="F133" t="str">
            <v>AŽD 71</v>
          </cell>
          <cell r="G133" t="str">
            <v>PZ 8330/96-E.49</v>
          </cell>
          <cell r="H133">
            <v>44099</v>
          </cell>
        </row>
        <row r="134">
          <cell r="E134">
            <v>47.201000000000001</v>
          </cell>
          <cell r="F134" t="str">
            <v>AŽD 71 (AZ)</v>
          </cell>
          <cell r="G134" t="str">
            <v>PZ 2521/96-E.49</v>
          </cell>
          <cell r="H134">
            <v>44124</v>
          </cell>
        </row>
        <row r="135">
          <cell r="E135">
            <v>48.005000000000003</v>
          </cell>
          <cell r="F135" t="str">
            <v>AŽD 71</v>
          </cell>
          <cell r="G135" t="str">
            <v>PZ 2520/96-E.49</v>
          </cell>
          <cell r="H135">
            <v>44106</v>
          </cell>
        </row>
        <row r="136">
          <cell r="E136">
            <v>52.372999999999998</v>
          </cell>
          <cell r="F136" t="str">
            <v>AŽD 71</v>
          </cell>
          <cell r="G136" t="str">
            <v>PZ 1331/95-E.49</v>
          </cell>
          <cell r="H136">
            <v>43732</v>
          </cell>
        </row>
        <row r="137">
          <cell r="E137">
            <v>53.802999999999997</v>
          </cell>
          <cell r="F137" t="str">
            <v>AŽD 71</v>
          </cell>
          <cell r="G137" t="str">
            <v>PZ 1330/95-E.49</v>
          </cell>
          <cell r="H137">
            <v>43732</v>
          </cell>
        </row>
        <row r="138">
          <cell r="E138">
            <v>54.195999999999998</v>
          </cell>
          <cell r="F138" t="str">
            <v>AŽD 71</v>
          </cell>
          <cell r="G138" t="str">
            <v>PZ 1329/95-E.49</v>
          </cell>
          <cell r="H138">
            <v>43732</v>
          </cell>
        </row>
        <row r="139">
          <cell r="E139">
            <v>55.654000000000003</v>
          </cell>
          <cell r="F139" t="str">
            <v>AŽD 71</v>
          </cell>
          <cell r="G139" t="str">
            <v>PZ 1320/95-E.49</v>
          </cell>
          <cell r="H139">
            <v>43731</v>
          </cell>
        </row>
        <row r="140">
          <cell r="E140">
            <v>58.552</v>
          </cell>
          <cell r="F140" t="str">
            <v>AŽD 71</v>
          </cell>
          <cell r="G140" t="str">
            <v>PZ 1321/95-E.49</v>
          </cell>
          <cell r="H140">
            <v>43731</v>
          </cell>
        </row>
        <row r="141">
          <cell r="E141">
            <v>59.381</v>
          </cell>
          <cell r="F141" t="str">
            <v>AŽD 71</v>
          </cell>
          <cell r="G141" t="str">
            <v>PZ 0373/95-E.49</v>
          </cell>
          <cell r="H141">
            <v>43706</v>
          </cell>
        </row>
        <row r="142">
          <cell r="E142">
            <v>62.585999999999999</v>
          </cell>
          <cell r="F142" t="str">
            <v>AŽD 71</v>
          </cell>
          <cell r="G142" t="str">
            <v>PZ 0380/95-E.49</v>
          </cell>
          <cell r="H142">
            <v>43731</v>
          </cell>
        </row>
        <row r="143">
          <cell r="E143">
            <v>65.933999999999997</v>
          </cell>
          <cell r="F143" t="str">
            <v>AŽD 71</v>
          </cell>
          <cell r="G143" t="str">
            <v>PZ 0400/95-E.49</v>
          </cell>
          <cell r="H143">
            <v>43731</v>
          </cell>
        </row>
        <row r="144">
          <cell r="E144">
            <v>66.067999999999998</v>
          </cell>
          <cell r="F144" t="str">
            <v>AŽD 71</v>
          </cell>
          <cell r="G144" t="str">
            <v>PZ 1311/95-E.49</v>
          </cell>
          <cell r="H144">
            <v>43613</v>
          </cell>
        </row>
        <row r="145">
          <cell r="E145">
            <v>66.361999999999995</v>
          </cell>
          <cell r="F145" t="str">
            <v>AŽD 71</v>
          </cell>
          <cell r="G145" t="str">
            <v>PZ 1312/95-E.49</v>
          </cell>
          <cell r="H145">
            <v>43613</v>
          </cell>
        </row>
        <row r="146">
          <cell r="E146">
            <v>68.296999999999997</v>
          </cell>
          <cell r="F146" t="str">
            <v>AŽD 71</v>
          </cell>
          <cell r="G146" t="str">
            <v>PZ 1316/95-E.49</v>
          </cell>
          <cell r="H146">
            <v>43613</v>
          </cell>
        </row>
        <row r="147">
          <cell r="E147">
            <v>69.305000000000007</v>
          </cell>
          <cell r="F147" t="str">
            <v>AŽD 71</v>
          </cell>
          <cell r="G147" t="str">
            <v>PZ 1315/95-E.49</v>
          </cell>
          <cell r="H147">
            <v>43613</v>
          </cell>
        </row>
        <row r="148">
          <cell r="E148">
            <v>71.599999999999994</v>
          </cell>
          <cell r="F148" t="str">
            <v>AŽD 71 + E.D. (AZ)</v>
          </cell>
          <cell r="G148" t="str">
            <v>PZ 2540/96-E.49</v>
          </cell>
          <cell r="H148">
            <v>43669</v>
          </cell>
        </row>
        <row r="149">
          <cell r="E149">
            <v>72.882999999999996</v>
          </cell>
          <cell r="F149" t="str">
            <v>AŽD 71 + E.D. (AZ)</v>
          </cell>
          <cell r="G149" t="str">
            <v>PZ 2541/96-E.49</v>
          </cell>
          <cell r="H149">
            <v>43958</v>
          </cell>
        </row>
        <row r="150">
          <cell r="E150">
            <v>74.257999999999996</v>
          </cell>
          <cell r="F150" t="str">
            <v>AŽD 71</v>
          </cell>
          <cell r="G150" t="str">
            <v>PZ 2542/96-E.49</v>
          </cell>
          <cell r="H150">
            <v>43958</v>
          </cell>
        </row>
        <row r="151">
          <cell r="E151">
            <v>75.960999999999999</v>
          </cell>
          <cell r="F151" t="str">
            <v>PZZ-RE (AZ)</v>
          </cell>
          <cell r="G151" t="str">
            <v>PZ 0718/13-E.49</v>
          </cell>
          <cell r="H151">
            <v>44802</v>
          </cell>
        </row>
        <row r="152">
          <cell r="E152">
            <v>77.385999999999996</v>
          </cell>
          <cell r="F152" t="str">
            <v>AŽD 71</v>
          </cell>
          <cell r="G152" t="str">
            <v>PZ 0381/95-E.49</v>
          </cell>
          <cell r="H152">
            <v>43612</v>
          </cell>
        </row>
        <row r="153">
          <cell r="E153">
            <v>78.224999999999994</v>
          </cell>
          <cell r="F153" t="str">
            <v>AŽD 71</v>
          </cell>
          <cell r="G153" t="str">
            <v>PZ 0383/95-E.49</v>
          </cell>
          <cell r="H153">
            <v>43612</v>
          </cell>
        </row>
        <row r="154">
          <cell r="E154">
            <v>78.769000000000005</v>
          </cell>
          <cell r="F154" t="str">
            <v>AŽD 71 + E.D. (AZ)</v>
          </cell>
          <cell r="G154" t="str">
            <v>PZ 0382/95-E.49</v>
          </cell>
          <cell r="H154">
            <v>43612</v>
          </cell>
        </row>
        <row r="155">
          <cell r="E155">
            <v>79.834000000000003</v>
          </cell>
          <cell r="F155" t="str">
            <v>PZZ GTA100</v>
          </cell>
          <cell r="G155" t="str">
            <v>PZ 0735/22-E.49</v>
          </cell>
          <cell r="H155">
            <v>2022</v>
          </cell>
        </row>
        <row r="156">
          <cell r="E156">
            <v>80.644999999999996</v>
          </cell>
          <cell r="F156" t="str">
            <v>AŽD 71 + E.D.</v>
          </cell>
          <cell r="G156" t="str">
            <v>PZ 10153/96-E.49</v>
          </cell>
          <cell r="H156">
            <v>45091</v>
          </cell>
        </row>
        <row r="157">
          <cell r="E157">
            <v>82.234999999999999</v>
          </cell>
          <cell r="F157" t="str">
            <v>AŽD 71 + E.D.</v>
          </cell>
          <cell r="G157" t="str">
            <v>PZ 10152/96-E.49</v>
          </cell>
          <cell r="H157">
            <v>45091</v>
          </cell>
        </row>
        <row r="158">
          <cell r="E158">
            <v>85.557000000000002</v>
          </cell>
          <cell r="F158" t="str">
            <v>AŽD 71</v>
          </cell>
          <cell r="G158" t="str">
            <v>PZ 10154/96-E.49</v>
          </cell>
          <cell r="H158">
            <v>43612</v>
          </cell>
        </row>
        <row r="159">
          <cell r="E159">
            <v>91.162999999999997</v>
          </cell>
          <cell r="F159" t="str">
            <v>AŽD 71 + E.D. (AZ)</v>
          </cell>
          <cell r="G159" t="str">
            <v>PZ 12057/96-E.49</v>
          </cell>
          <cell r="H159">
            <v>43508</v>
          </cell>
        </row>
        <row r="160">
          <cell r="E160">
            <v>94.078000000000003</v>
          </cell>
          <cell r="F160" t="str">
            <v>AŽD 71 + E.D.</v>
          </cell>
          <cell r="G160" t="str">
            <v>PZ 0514/04-E.49</v>
          </cell>
          <cell r="H160">
            <v>45181</v>
          </cell>
        </row>
        <row r="161">
          <cell r="E161">
            <v>94.887</v>
          </cell>
          <cell r="F161" t="str">
            <v>PZZ-RE (AZ)</v>
          </cell>
          <cell r="G161" t="str">
            <v>PZ 2703/15-E.49</v>
          </cell>
          <cell r="H161">
            <v>44114</v>
          </cell>
        </row>
        <row r="162">
          <cell r="E162">
            <v>95.436000000000007</v>
          </cell>
          <cell r="F162" t="str">
            <v>PZZ-RE (AZ)</v>
          </cell>
          <cell r="G162" t="str">
            <v>PZ 2704/15-E.49</v>
          </cell>
          <cell r="H162">
            <v>44106</v>
          </cell>
        </row>
        <row r="163">
          <cell r="E163">
            <v>96.013999999999996</v>
          </cell>
          <cell r="F163" t="str">
            <v>PZZ-RE (AZ)</v>
          </cell>
          <cell r="G163" t="str">
            <v>PZ 2705/15-E.49</v>
          </cell>
          <cell r="H163">
            <v>44106</v>
          </cell>
        </row>
        <row r="167">
          <cell r="E167" t="str">
            <v>km</v>
          </cell>
          <cell r="F167" t="str">
            <v>typ</v>
          </cell>
          <cell r="G167" t="str">
            <v>číslo PZ</v>
          </cell>
          <cell r="H167" t="str">
            <v>Poslední protokol UTZ</v>
          </cell>
        </row>
        <row r="168">
          <cell r="E168">
            <v>5.9939999999999998</v>
          </cell>
          <cell r="F168" t="str">
            <v>PZZ-RE (AZ)</v>
          </cell>
          <cell r="G168" t="str">
            <v>PZ 1959/14-E.49</v>
          </cell>
          <cell r="H168">
            <v>43812</v>
          </cell>
        </row>
        <row r="169">
          <cell r="E169">
            <v>8.1609999999999996</v>
          </cell>
          <cell r="F169" t="str">
            <v>AŽD 71 + E.D.</v>
          </cell>
          <cell r="G169" t="str">
            <v>PZ 4328/97-E.49</v>
          </cell>
          <cell r="H169">
            <v>44004</v>
          </cell>
        </row>
        <row r="170">
          <cell r="E170">
            <v>8.577</v>
          </cell>
          <cell r="F170" t="str">
            <v>AŽD 71 + E.D.</v>
          </cell>
          <cell r="G170" t="str">
            <v>PZ 4327/97-E.49</v>
          </cell>
          <cell r="H170">
            <v>44004</v>
          </cell>
        </row>
        <row r="171">
          <cell r="E171">
            <v>9.2129999999999992</v>
          </cell>
          <cell r="F171" t="str">
            <v>AŽD 71 + E.D.</v>
          </cell>
          <cell r="G171" t="str">
            <v>PZ 4326/97-E.49</v>
          </cell>
          <cell r="H171">
            <v>44004</v>
          </cell>
        </row>
        <row r="172">
          <cell r="E172">
            <v>9.8480000000000008</v>
          </cell>
          <cell r="F172" t="str">
            <v>AŽD 71 (AZ)</v>
          </cell>
          <cell r="G172" t="str">
            <v>PZ 4325/97-E.49</v>
          </cell>
          <cell r="H172">
            <v>43985</v>
          </cell>
        </row>
        <row r="173">
          <cell r="E173">
            <v>10.513</v>
          </cell>
          <cell r="F173" t="str">
            <v>AŽD 71 + E.D. (AZ)</v>
          </cell>
          <cell r="G173" t="str">
            <v>PZ 4324/97-E.49</v>
          </cell>
          <cell r="H173">
            <v>44004</v>
          </cell>
        </row>
        <row r="174">
          <cell r="E174">
            <v>11.217000000000001</v>
          </cell>
          <cell r="F174" t="str">
            <v>AŽD 71</v>
          </cell>
          <cell r="G174" t="str">
            <v>PZ 4323/97-E.49</v>
          </cell>
          <cell r="H174">
            <v>44005</v>
          </cell>
        </row>
        <row r="175">
          <cell r="E175">
            <v>17.512</v>
          </cell>
          <cell r="F175" t="str">
            <v>AŽD 71 (AZ)</v>
          </cell>
          <cell r="G175" t="str">
            <v>PZ 4332/97-E.49</v>
          </cell>
          <cell r="H175">
            <v>44005</v>
          </cell>
        </row>
        <row r="176">
          <cell r="E176">
            <v>21.504000000000001</v>
          </cell>
          <cell r="F176" t="str">
            <v>PZZ-RE (AZ)</v>
          </cell>
          <cell r="G176" t="str">
            <v>PZ 1084/19-E.49</v>
          </cell>
          <cell r="H176">
            <v>43693</v>
          </cell>
        </row>
        <row r="177">
          <cell r="E177">
            <v>22.693999999999999</v>
          </cell>
          <cell r="F177" t="str">
            <v>PZZ-RE (AZ)</v>
          </cell>
          <cell r="G177" t="str">
            <v>PZ 1083/19-E.49</v>
          </cell>
          <cell r="H177">
            <v>43693</v>
          </cell>
        </row>
        <row r="178">
          <cell r="E178">
            <v>25.422999999999998</v>
          </cell>
          <cell r="F178" t="str">
            <v>AŽD 71 + E.D.</v>
          </cell>
          <cell r="G178" t="str">
            <v>PZ 0596/02-E.49</v>
          </cell>
          <cell r="H178">
            <v>44811</v>
          </cell>
        </row>
        <row r="179">
          <cell r="E179">
            <v>26.539000000000001</v>
          </cell>
          <cell r="F179" t="str">
            <v>AŽD 71 + E.D. (AZ)</v>
          </cell>
          <cell r="G179" t="str">
            <v>PZ 4329/97-E.49</v>
          </cell>
          <cell r="H179">
            <v>44005</v>
          </cell>
        </row>
        <row r="180">
          <cell r="E180">
            <v>32.143999999999998</v>
          </cell>
          <cell r="F180" t="str">
            <v>PZZ-RE (AZ)</v>
          </cell>
          <cell r="G180" t="str">
            <v>PZ 1716/15-E.49</v>
          </cell>
          <cell r="H180">
            <v>43936</v>
          </cell>
        </row>
        <row r="181">
          <cell r="E181">
            <v>137.77500000000001</v>
          </cell>
          <cell r="F181" t="str">
            <v>PZZ-RE</v>
          </cell>
          <cell r="G181" t="str">
            <v>PZ 2123/05-E.49</v>
          </cell>
          <cell r="H181">
            <v>43976</v>
          </cell>
        </row>
        <row r="182">
          <cell r="E182">
            <v>142.697</v>
          </cell>
          <cell r="F182" t="str">
            <v>AŽD 71</v>
          </cell>
          <cell r="G182" t="str">
            <v>PZ 2047/98-E.49</v>
          </cell>
          <cell r="H182">
            <v>45007</v>
          </cell>
        </row>
        <row r="183">
          <cell r="E183" t="str">
            <v>143,676+143,786</v>
          </cell>
          <cell r="F183" t="str">
            <v xml:space="preserve">PZZ-EA </v>
          </cell>
          <cell r="G183" t="str">
            <v>PZ 2117/05-E.49</v>
          </cell>
          <cell r="H183">
            <v>43977</v>
          </cell>
        </row>
        <row r="184">
          <cell r="E184">
            <v>145.935</v>
          </cell>
          <cell r="F184" t="str">
            <v xml:space="preserve">PZZ-EA </v>
          </cell>
          <cell r="G184" t="str">
            <v>PZ 2118/05-E.49</v>
          </cell>
          <cell r="H184">
            <v>43977</v>
          </cell>
        </row>
        <row r="185">
          <cell r="E185">
            <v>146.09100000000001</v>
          </cell>
          <cell r="F185" t="str">
            <v xml:space="preserve">PZZ-EA </v>
          </cell>
          <cell r="G185" t="str">
            <v>PZ 2119/05-E.49</v>
          </cell>
          <cell r="H185">
            <v>43977</v>
          </cell>
        </row>
        <row r="186">
          <cell r="E186">
            <v>146.80699999999999</v>
          </cell>
          <cell r="F186" t="str">
            <v>PZZ-RE</v>
          </cell>
          <cell r="G186" t="str">
            <v>PZ 2115/05-E.49</v>
          </cell>
          <cell r="H186">
            <v>43976</v>
          </cell>
        </row>
        <row r="187">
          <cell r="E187">
            <v>147.21799999999999</v>
          </cell>
          <cell r="F187" t="str">
            <v>PZZ-RE (AZ)</v>
          </cell>
          <cell r="G187" t="str">
            <v>PZ 2116/05-E.49</v>
          </cell>
          <cell r="H187">
            <v>43976</v>
          </cell>
        </row>
        <row r="188">
          <cell r="E188">
            <v>150.196</v>
          </cell>
          <cell r="F188" t="str">
            <v xml:space="preserve">PZZ-RE </v>
          </cell>
          <cell r="G188" t="str">
            <v>PZ 2827/22-E.49</v>
          </cell>
          <cell r="H188">
            <v>44823</v>
          </cell>
        </row>
        <row r="189">
          <cell r="E189">
            <v>152.55099999999999</v>
          </cell>
          <cell r="F189" t="str">
            <v xml:space="preserve">PZZ-EA </v>
          </cell>
          <cell r="G189" t="str">
            <v>PZ 2120/05-E.49</v>
          </cell>
          <cell r="H189">
            <v>43972</v>
          </cell>
        </row>
        <row r="190">
          <cell r="E190">
            <v>153.054</v>
          </cell>
          <cell r="F190" t="str">
            <v xml:space="preserve">PZZ-EA </v>
          </cell>
          <cell r="G190" t="str">
            <v>PZ 2121/05-E.49</v>
          </cell>
          <cell r="H190">
            <v>43972</v>
          </cell>
        </row>
        <row r="191">
          <cell r="E191">
            <v>153.37899999999999</v>
          </cell>
          <cell r="F191" t="str">
            <v xml:space="preserve">PZZ-EA </v>
          </cell>
          <cell r="G191" t="str">
            <v>PZ 2122/05-E.49</v>
          </cell>
          <cell r="H191">
            <v>43972</v>
          </cell>
        </row>
        <row r="195">
          <cell r="E195" t="str">
            <v>km</v>
          </cell>
          <cell r="F195" t="str">
            <v>typ</v>
          </cell>
          <cell r="G195" t="str">
            <v>číslo PZ</v>
          </cell>
          <cell r="H195" t="str">
            <v>Poslední protokol UTZ</v>
          </cell>
        </row>
        <row r="196">
          <cell r="E196">
            <v>77.253</v>
          </cell>
          <cell r="F196" t="str">
            <v>PZZ-AC</v>
          </cell>
          <cell r="G196" t="str">
            <v>PZ 0712/13-E.49</v>
          </cell>
          <cell r="H196">
            <v>44414</v>
          </cell>
        </row>
        <row r="197">
          <cell r="E197">
            <v>71.716999999999999</v>
          </cell>
          <cell r="F197" t="str">
            <v>PZZ-AC</v>
          </cell>
          <cell r="G197" t="str">
            <v>PZ 0713/13-E.49</v>
          </cell>
          <cell r="H197">
            <v>44414</v>
          </cell>
        </row>
        <row r="201">
          <cell r="E201" t="str">
            <v>km</v>
          </cell>
          <cell r="F201" t="str">
            <v>typ</v>
          </cell>
          <cell r="G201" t="str">
            <v>číslo PZ</v>
          </cell>
          <cell r="H201" t="str">
            <v>Poslední protokol UTZ</v>
          </cell>
        </row>
        <row r="202">
          <cell r="E202">
            <v>361.65800000000002</v>
          </cell>
          <cell r="F202" t="str">
            <v>PZZ-AC (AZ)</v>
          </cell>
          <cell r="G202" t="str">
            <v>PZ 1476/07-E.49</v>
          </cell>
          <cell r="H202">
            <v>44648</v>
          </cell>
        </row>
        <row r="203">
          <cell r="E203">
            <v>365.48099999999999</v>
          </cell>
          <cell r="F203" t="str">
            <v>PZZ-EA (AZ)</v>
          </cell>
          <cell r="G203" t="str">
            <v>PZ 0363/08-E.49</v>
          </cell>
          <cell r="H203">
            <v>44951</v>
          </cell>
        </row>
        <row r="204">
          <cell r="E204">
            <v>369.23899999999998</v>
          </cell>
          <cell r="F204" t="str">
            <v>PZZ-EA (AZ)</v>
          </cell>
          <cell r="G204" t="str">
            <v>PZ 0364/08-E.49</v>
          </cell>
          <cell r="H204">
            <v>44951</v>
          </cell>
        </row>
        <row r="205">
          <cell r="E205">
            <v>378.10199999999998</v>
          </cell>
          <cell r="F205" t="str">
            <v>PZZ-AC (AZ)</v>
          </cell>
          <cell r="G205" t="str">
            <v>PZ 0356/08-E.49</v>
          </cell>
          <cell r="H205">
            <v>44966</v>
          </cell>
        </row>
        <row r="206">
          <cell r="E206">
            <v>383.82799999999997</v>
          </cell>
          <cell r="F206" t="str">
            <v>PZZ-EA (AZ)</v>
          </cell>
          <cell r="G206" t="str">
            <v>PZ 0196/10-E.49</v>
          </cell>
          <cell r="H206">
            <v>44966</v>
          </cell>
        </row>
        <row r="207">
          <cell r="E207">
            <v>403.91899999999998</v>
          </cell>
          <cell r="F207" t="str">
            <v>PZZ-AC (AZ)</v>
          </cell>
          <cell r="G207" t="str">
            <v>PZ 720/12-E.49</v>
          </cell>
          <cell r="H207">
            <v>44258</v>
          </cell>
        </row>
        <row r="208">
          <cell r="E208">
            <v>408.86399999999998</v>
          </cell>
          <cell r="F208" t="str">
            <v>PZZ-AC (AZ)</v>
          </cell>
          <cell r="G208" t="str">
            <v>PZ 1715/09-E.49</v>
          </cell>
          <cell r="H208">
            <v>43623</v>
          </cell>
        </row>
        <row r="209">
          <cell r="E209">
            <v>416.55700000000002</v>
          </cell>
          <cell r="F209" t="str">
            <v>PZZ-EA (AZ)</v>
          </cell>
          <cell r="G209" t="str">
            <v>PZ 2483/09-E.49</v>
          </cell>
          <cell r="H209">
            <v>43790</v>
          </cell>
        </row>
        <row r="210">
          <cell r="E210">
            <v>417.12799999999999</v>
          </cell>
          <cell r="F210" t="str">
            <v>PZZ-AC (AZ)</v>
          </cell>
          <cell r="G210" t="str">
            <v>PZ 2482/09-E.49</v>
          </cell>
          <cell r="H210">
            <v>43789</v>
          </cell>
        </row>
        <row r="214">
          <cell r="E214" t="str">
            <v>km</v>
          </cell>
          <cell r="F214" t="str">
            <v>typ</v>
          </cell>
          <cell r="G214" t="str">
            <v>číslo PZ</v>
          </cell>
          <cell r="H214" t="str">
            <v>Poslední protokol UTZ</v>
          </cell>
        </row>
        <row r="215">
          <cell r="E215">
            <v>12.587</v>
          </cell>
          <cell r="F215" t="str">
            <v>PZZ-RE</v>
          </cell>
          <cell r="G215" t="str">
            <v>PZ 1016/16-E.49</v>
          </cell>
          <cell r="H215">
            <v>44273</v>
          </cell>
        </row>
        <row r="216">
          <cell r="E216">
            <v>19.864000000000001</v>
          </cell>
          <cell r="F216" t="str">
            <v>PZZ-RE</v>
          </cell>
          <cell r="G216" t="str">
            <v>PZ 1015/16-E.49</v>
          </cell>
          <cell r="H216">
            <v>44273</v>
          </cell>
        </row>
        <row r="219">
          <cell r="E219" t="str">
            <v>km</v>
          </cell>
          <cell r="F219" t="str">
            <v>typ</v>
          </cell>
          <cell r="G219" t="str">
            <v>číslo PZ</v>
          </cell>
          <cell r="H219" t="str">
            <v>Poslední protokol UTZ</v>
          </cell>
        </row>
        <row r="220">
          <cell r="E220">
            <v>7.4349999999999996</v>
          </cell>
          <cell r="F220" t="str">
            <v>PZZ-RE</v>
          </cell>
          <cell r="G220" t="str">
            <v>PZ 1365/10-E.49</v>
          </cell>
          <cell r="H220">
            <v>43643</v>
          </cell>
        </row>
        <row r="221">
          <cell r="E221">
            <v>12.02</v>
          </cell>
          <cell r="F221" t="str">
            <v>PZZ-K</v>
          </cell>
          <cell r="G221" t="str">
            <v>PZ 0343/08-E.49</v>
          </cell>
          <cell r="H221">
            <v>44950</v>
          </cell>
        </row>
        <row r="225">
          <cell r="E225" t="str">
            <v>km</v>
          </cell>
          <cell r="F225" t="str">
            <v>typ</v>
          </cell>
          <cell r="G225" t="str">
            <v>číslo PZ</v>
          </cell>
          <cell r="H225" t="str">
            <v>Poslední protokol UTZ</v>
          </cell>
        </row>
        <row r="226">
          <cell r="E226">
            <v>3.222</v>
          </cell>
          <cell r="F226" t="str">
            <v>PZZ-K</v>
          </cell>
          <cell r="G226" t="str">
            <v>PZ 0978/18-E.49</v>
          </cell>
          <cell r="H226">
            <v>45166</v>
          </cell>
        </row>
        <row r="227">
          <cell r="E227">
            <v>3.9350000000000001</v>
          </cell>
          <cell r="F227" t="str">
            <v>PZZ-K</v>
          </cell>
          <cell r="G227" t="str">
            <v>PZ 0979/18-E.49</v>
          </cell>
          <cell r="H227">
            <v>45166</v>
          </cell>
        </row>
        <row r="228">
          <cell r="E228">
            <v>5.4749999999999996</v>
          </cell>
          <cell r="F228" t="str">
            <v>PZZ-K</v>
          </cell>
          <cell r="G228" t="str">
            <v>PZ 0980/18-E.49</v>
          </cell>
          <cell r="H228">
            <v>45166</v>
          </cell>
        </row>
        <row r="229">
          <cell r="E229">
            <v>5.8949999999999996</v>
          </cell>
          <cell r="F229" t="str">
            <v>PZZ-K</v>
          </cell>
          <cell r="G229" t="str">
            <v>PZ 0981/18-E.49</v>
          </cell>
          <cell r="H229">
            <v>45166</v>
          </cell>
        </row>
        <row r="230">
          <cell r="E230">
            <v>6.4530000000000003</v>
          </cell>
          <cell r="F230" t="str">
            <v>PZZ-K</v>
          </cell>
          <cell r="G230" t="str">
            <v>PZ 0982/18-E.49</v>
          </cell>
          <cell r="H230">
            <v>45166</v>
          </cell>
        </row>
        <row r="231">
          <cell r="E231">
            <v>9.5630000000000006</v>
          </cell>
          <cell r="F231" t="str">
            <v>PZZ-K</v>
          </cell>
          <cell r="G231" t="str">
            <v>PZ 0983/18-E.49</v>
          </cell>
          <cell r="H231">
            <v>44985</v>
          </cell>
        </row>
        <row r="232">
          <cell r="E232">
            <v>10.712</v>
          </cell>
          <cell r="F232" t="str">
            <v>PZZ-K</v>
          </cell>
          <cell r="G232" t="str">
            <v>PZ 0984/18-E.49</v>
          </cell>
          <cell r="H232">
            <v>45166</v>
          </cell>
        </row>
        <row r="236">
          <cell r="E236" t="str">
            <v>km</v>
          </cell>
          <cell r="F236" t="str">
            <v>typ</v>
          </cell>
          <cell r="G236" t="str">
            <v>číslo PZ</v>
          </cell>
          <cell r="H236" t="str">
            <v>Poslední protokol UTZ</v>
          </cell>
        </row>
        <row r="237">
          <cell r="E237" t="str">
            <v>2,881 (2,882)</v>
          </cell>
          <cell r="F237" t="str">
            <v>AŽD 71 (AZ)</v>
          </cell>
          <cell r="G237" t="str">
            <v>PZ 10160/96-E.49</v>
          </cell>
          <cell r="H237">
            <v>44802</v>
          </cell>
        </row>
        <row r="238">
          <cell r="E238">
            <v>7.2110000000000003</v>
          </cell>
          <cell r="F238" t="str">
            <v>PZZ-RE</v>
          </cell>
          <cell r="G238" t="str">
            <v>PZ 1080/17-E.49</v>
          </cell>
          <cell r="H238">
            <v>44802</v>
          </cell>
        </row>
        <row r="239">
          <cell r="E239">
            <v>10.166</v>
          </cell>
          <cell r="F239" t="str">
            <v>AŽD 71 + E.D.</v>
          </cell>
          <cell r="G239" t="str">
            <v>PZ 10301/96-E.49</v>
          </cell>
          <cell r="H239">
            <v>44138</v>
          </cell>
        </row>
        <row r="240">
          <cell r="E240">
            <v>11.548999999999999</v>
          </cell>
          <cell r="F240" t="str">
            <v>AŽD 71 + E.D.</v>
          </cell>
          <cell r="G240" t="str">
            <v>PZ 10302/96-E.49</v>
          </cell>
          <cell r="H240">
            <v>44138</v>
          </cell>
        </row>
        <row r="241">
          <cell r="E241">
            <v>14.195</v>
          </cell>
          <cell r="F241" t="str">
            <v>PZZ-K</v>
          </cell>
          <cell r="G241" t="str">
            <v>PZ 2145/05-E.49</v>
          </cell>
          <cell r="H241">
            <v>44138</v>
          </cell>
        </row>
        <row r="242">
          <cell r="E242">
            <v>16.370999999999999</v>
          </cell>
          <cell r="F242" t="str">
            <v>AŽD 71 + E.D.</v>
          </cell>
          <cell r="G242" t="str">
            <v>PZ 10304/96-E.49</v>
          </cell>
          <cell r="H242">
            <v>44141</v>
          </cell>
        </row>
        <row r="243">
          <cell r="E243">
            <v>18.132999999999999</v>
          </cell>
          <cell r="F243" t="str">
            <v>AŽD 71</v>
          </cell>
          <cell r="G243" t="str">
            <v>PZ 10305/96-E.49</v>
          </cell>
          <cell r="H243">
            <v>44141</v>
          </cell>
        </row>
        <row r="244">
          <cell r="E244">
            <v>18.556999999999999</v>
          </cell>
          <cell r="F244" t="str">
            <v>PZZ-RE</v>
          </cell>
          <cell r="G244" t="str">
            <v>PZ 1787/13-E.48</v>
          </cell>
          <cell r="H244">
            <v>45208</v>
          </cell>
        </row>
        <row r="245">
          <cell r="E245">
            <v>22.777000000000001</v>
          </cell>
          <cell r="F245" t="str">
            <v>PZZ-K (AZ)</v>
          </cell>
          <cell r="G245" t="str">
            <v>PZ 0457/11-E.49</v>
          </cell>
          <cell r="H245">
            <v>44298</v>
          </cell>
        </row>
        <row r="246">
          <cell r="E246">
            <v>23.084</v>
          </cell>
          <cell r="F246" t="str">
            <v>PZZ-RE (AZ)</v>
          </cell>
          <cell r="G246" t="str">
            <v>PZ 1047/20-E.49</v>
          </cell>
          <cell r="H246">
            <v>43998</v>
          </cell>
        </row>
        <row r="247">
          <cell r="E247">
            <v>24.379000000000001</v>
          </cell>
          <cell r="F247" t="str">
            <v>PZZ-RE</v>
          </cell>
          <cell r="G247" t="str">
            <v>PZ 1900/14-E.49</v>
          </cell>
          <cell r="H247">
            <v>43745</v>
          </cell>
        </row>
        <row r="248">
          <cell r="E248">
            <v>25.460999999999999</v>
          </cell>
          <cell r="F248" t="str">
            <v>AŽD 71 + E.D.</v>
          </cell>
          <cell r="G248" t="str">
            <v>PZ 10307/96-E.49</v>
          </cell>
          <cell r="H248">
            <v>44392</v>
          </cell>
        </row>
        <row r="249">
          <cell r="E249">
            <v>26.504999999999999</v>
          </cell>
          <cell r="F249" t="str">
            <v>AŽD 71</v>
          </cell>
          <cell r="G249" t="str">
            <v>PZ 10308/96-E.49</v>
          </cell>
          <cell r="H249">
            <v>44392</v>
          </cell>
        </row>
        <row r="250">
          <cell r="E250">
            <v>30.202999999999999</v>
          </cell>
          <cell r="F250" t="str">
            <v>PZZ-RE (AZ)</v>
          </cell>
          <cell r="G250" t="str">
            <v>PZ 0708/21-E.49</v>
          </cell>
          <cell r="H250">
            <v>44277</v>
          </cell>
        </row>
        <row r="251">
          <cell r="E251">
            <v>31.283999999999999</v>
          </cell>
          <cell r="F251" t="str">
            <v>AŽD 71 + E.D.</v>
          </cell>
          <cell r="G251" t="str">
            <v>PZ 10309/96-E.49</v>
          </cell>
          <cell r="H251">
            <v>44378</v>
          </cell>
        </row>
        <row r="252">
          <cell r="E252">
            <v>32.713000000000001</v>
          </cell>
          <cell r="F252" t="str">
            <v>AŽD 71 + E.D.</v>
          </cell>
          <cell r="G252" t="str">
            <v>PZ 10310/96-E.49</v>
          </cell>
          <cell r="H252">
            <v>44378</v>
          </cell>
        </row>
        <row r="253">
          <cell r="E253">
            <v>33.854999999999997</v>
          </cell>
          <cell r="F253" t="str">
            <v>AŽD 71 + E.D.</v>
          </cell>
          <cell r="G253" t="str">
            <v>PZ 10311/96-E.49</v>
          </cell>
          <cell r="H253">
            <v>44406</v>
          </cell>
        </row>
        <row r="254">
          <cell r="E254">
            <v>35.130000000000003</v>
          </cell>
          <cell r="F254" t="str">
            <v>PZZ-K</v>
          </cell>
          <cell r="G254" t="str">
            <v>PZ 0910/16-E.49</v>
          </cell>
          <cell r="H254">
            <v>44216</v>
          </cell>
        </row>
        <row r="255">
          <cell r="E255">
            <v>36.838000000000001</v>
          </cell>
          <cell r="F255" t="str">
            <v>AŽD 71 + E.D.</v>
          </cell>
          <cell r="G255" t="str">
            <v>PZ 10313/96-E.49</v>
          </cell>
          <cell r="H255">
            <v>44316</v>
          </cell>
        </row>
        <row r="256">
          <cell r="E256">
            <v>37.503999999999998</v>
          </cell>
          <cell r="F256" t="str">
            <v>AŽD 71 + E.D.</v>
          </cell>
          <cell r="G256" t="str">
            <v>PZ 10312/96-E.49</v>
          </cell>
          <cell r="H256">
            <v>44316</v>
          </cell>
        </row>
        <row r="257">
          <cell r="E257">
            <v>38.927999999999997</v>
          </cell>
          <cell r="F257" t="str">
            <v>PZZ-K</v>
          </cell>
          <cell r="G257" t="str">
            <v>PZ 1426/17-E.49</v>
          </cell>
          <cell r="H257">
            <v>44812</v>
          </cell>
        </row>
        <row r="258">
          <cell r="E258">
            <v>39.853000000000002</v>
          </cell>
          <cell r="F258" t="str">
            <v>PZZ-K (AZ)</v>
          </cell>
          <cell r="G258" t="str">
            <v>PZ 1425/17-E.49</v>
          </cell>
          <cell r="H258">
            <v>44812</v>
          </cell>
        </row>
        <row r="259">
          <cell r="E259">
            <v>40.738</v>
          </cell>
          <cell r="F259" t="str">
            <v>AŽD 71 + E.D.</v>
          </cell>
          <cell r="G259" t="str">
            <v>PZ 10156/96-E.49</v>
          </cell>
          <cell r="H259">
            <v>44316</v>
          </cell>
        </row>
        <row r="260">
          <cell r="E260">
            <v>41.192999999999998</v>
          </cell>
          <cell r="F260" t="str">
            <v>AŽD 71 + E.D.</v>
          </cell>
          <cell r="G260" t="str">
            <v>PZ 10314/96-E.49</v>
          </cell>
          <cell r="H260">
            <v>44316</v>
          </cell>
        </row>
        <row r="261">
          <cell r="E261">
            <v>43.369</v>
          </cell>
          <cell r="F261" t="str">
            <v>AŽD 71 + E.D.</v>
          </cell>
          <cell r="G261" t="str">
            <v>PZ 10315/96-E.49</v>
          </cell>
          <cell r="H261">
            <v>44316</v>
          </cell>
        </row>
        <row r="262">
          <cell r="E262">
            <v>43.529000000000003</v>
          </cell>
          <cell r="F262" t="str">
            <v>AŽD 71 + E.D.</v>
          </cell>
          <cell r="G262" t="str">
            <v>PZ 10316/96-E.49</v>
          </cell>
          <cell r="H262">
            <v>44316</v>
          </cell>
        </row>
        <row r="263">
          <cell r="E263">
            <v>44.057000000000002</v>
          </cell>
          <cell r="F263" t="str">
            <v>AŽD 71 + E.D.</v>
          </cell>
          <cell r="G263" t="str">
            <v>PZ 10157/96-E.49</v>
          </cell>
          <cell r="H263">
            <v>43843</v>
          </cell>
        </row>
        <row r="264">
          <cell r="E264">
            <v>44.741999999999997</v>
          </cell>
          <cell r="F264" t="str">
            <v>AŽD 71 + E.D.</v>
          </cell>
          <cell r="G264" t="str">
            <v>PZ 10158/96-E.49</v>
          </cell>
          <cell r="H264">
            <v>44126</v>
          </cell>
        </row>
        <row r="265">
          <cell r="E265">
            <v>45.695999999999998</v>
          </cell>
          <cell r="F265" t="str">
            <v>PZZ-K (AZ)</v>
          </cell>
          <cell r="G265" t="str">
            <v>PZ 1436/20-E.49</v>
          </cell>
          <cell r="H265">
            <v>44172</v>
          </cell>
        </row>
        <row r="266">
          <cell r="E266">
            <v>47.084000000000003</v>
          </cell>
          <cell r="F266" t="str">
            <v>AŽD 71 + E.D.</v>
          </cell>
          <cell r="G266" t="str">
            <v>PZ 10159/96-E.49</v>
          </cell>
          <cell r="H266">
            <v>44150</v>
          </cell>
        </row>
        <row r="267">
          <cell r="E267">
            <v>49.180999999999997</v>
          </cell>
          <cell r="F267" t="str">
            <v>AŽD 71 + E.D.</v>
          </cell>
          <cell r="G267" t="str">
            <v>PZ 10317/96-E.49</v>
          </cell>
          <cell r="H267">
            <v>43843</v>
          </cell>
        </row>
        <row r="268">
          <cell r="E268">
            <v>50.353999999999999</v>
          </cell>
          <cell r="F268" t="str">
            <v>PZZ-K</v>
          </cell>
          <cell r="G268" t="str">
            <v>PZ 2146/05-E.49</v>
          </cell>
          <cell r="H268">
            <v>44014</v>
          </cell>
        </row>
        <row r="269">
          <cell r="E269">
            <v>51.646999999999998</v>
          </cell>
          <cell r="F269" t="str">
            <v>AŽD 71</v>
          </cell>
          <cell r="G269" t="str">
            <v>PZ 10319/96-E.49</v>
          </cell>
          <cell r="H269">
            <v>44014</v>
          </cell>
        </row>
        <row r="270">
          <cell r="E270">
            <v>52.328000000000003</v>
          </cell>
          <cell r="F270" t="str">
            <v>AŽD 71</v>
          </cell>
          <cell r="G270" t="str">
            <v>PZ 1396/16-E.49</v>
          </cell>
          <cell r="H270">
            <v>44494</v>
          </cell>
        </row>
        <row r="271">
          <cell r="E271">
            <v>53.146000000000001</v>
          </cell>
          <cell r="F271" t="str">
            <v>PZZ-RE</v>
          </cell>
          <cell r="G271" t="str">
            <v>PZ 1397/16-E.49</v>
          </cell>
          <cell r="H271">
            <v>44494</v>
          </cell>
        </row>
        <row r="272">
          <cell r="E272">
            <v>54.128</v>
          </cell>
          <cell r="F272" t="str">
            <v>AŽD 71</v>
          </cell>
          <cell r="G272" t="str">
            <v>PZ 0534/96-E.49</v>
          </cell>
          <cell r="H272">
            <v>44014</v>
          </cell>
        </row>
        <row r="273">
          <cell r="E273">
            <v>54.959000000000003</v>
          </cell>
          <cell r="F273" t="str">
            <v>PZZ-K (AZ)</v>
          </cell>
          <cell r="G273" t="str">
            <v>PZ 0939/23-E.49</v>
          </cell>
          <cell r="H273">
            <v>45068</v>
          </cell>
        </row>
        <row r="274">
          <cell r="E274">
            <v>56.201999999999998</v>
          </cell>
          <cell r="F274" t="str">
            <v>PZZ-RE (AZ)</v>
          </cell>
          <cell r="G274" t="str">
            <v>PZ 1462/22-E.49</v>
          </cell>
          <cell r="H274">
            <v>44762</v>
          </cell>
        </row>
        <row r="275">
          <cell r="E275">
            <v>56.558999999999997</v>
          </cell>
          <cell r="F275" t="str">
            <v>PZZ-RE (AZ)</v>
          </cell>
          <cell r="G275" t="str">
            <v>PZ 1461/22-E.49</v>
          </cell>
          <cell r="H275">
            <v>44762</v>
          </cell>
        </row>
        <row r="276">
          <cell r="E276">
            <v>57.204000000000001</v>
          </cell>
          <cell r="F276" t="str">
            <v>AŽD 71 (AZ)</v>
          </cell>
          <cell r="G276" t="str">
            <v>PZ 2519/96-E.49</v>
          </cell>
          <cell r="H276">
            <v>45062</v>
          </cell>
        </row>
        <row r="280">
          <cell r="E280" t="str">
            <v>km</v>
          </cell>
          <cell r="F280" t="str">
            <v>typ</v>
          </cell>
          <cell r="G280" t="str">
            <v>číslo PZ</v>
          </cell>
          <cell r="H280" t="str">
            <v>Poslední protokol UTZ</v>
          </cell>
        </row>
        <row r="281">
          <cell r="E281">
            <v>4.5960000000000001</v>
          </cell>
          <cell r="F281" t="str">
            <v>PZZ-K</v>
          </cell>
          <cell r="G281" t="str">
            <v>PZ 0344/08-E.49</v>
          </cell>
          <cell r="H281">
            <v>45106</v>
          </cell>
        </row>
        <row r="282">
          <cell r="E282">
            <v>7.6929999999999996</v>
          </cell>
          <cell r="F282" t="str">
            <v>PZZ-K (AZ)</v>
          </cell>
          <cell r="G282" t="str">
            <v>PZ 0756/20-E.49</v>
          </cell>
          <cell r="H282">
            <v>44013</v>
          </cell>
        </row>
        <row r="283">
          <cell r="E283">
            <v>15.115</v>
          </cell>
          <cell r="F283" t="str">
            <v>PZZ-K</v>
          </cell>
          <cell r="G283" t="str">
            <v>PZ 1938/09-E.49</v>
          </cell>
          <cell r="H283">
            <v>43647</v>
          </cell>
        </row>
        <row r="284">
          <cell r="E284">
            <v>15.552</v>
          </cell>
          <cell r="F284" t="str">
            <v>PZZ-K</v>
          </cell>
          <cell r="G284" t="str">
            <v>PZ 1939/09-E.49</v>
          </cell>
          <cell r="H284">
            <v>43647</v>
          </cell>
        </row>
        <row r="285">
          <cell r="E285">
            <v>18.437000000000001</v>
          </cell>
          <cell r="F285" t="str">
            <v>PZZ-K</v>
          </cell>
          <cell r="G285" t="str">
            <v>PZ 1366/09-E.49</v>
          </cell>
          <cell r="H285">
            <v>43572</v>
          </cell>
        </row>
        <row r="286">
          <cell r="E286">
            <v>20.167000000000002</v>
          </cell>
          <cell r="F286" t="str">
            <v>AŽD 71 + E.D. (AZ)</v>
          </cell>
          <cell r="G286" t="str">
            <v>PZ 2425/01-E.49</v>
          </cell>
          <cell r="H286">
            <v>44510</v>
          </cell>
        </row>
        <row r="287">
          <cell r="E287">
            <v>21.577000000000002</v>
          </cell>
          <cell r="F287" t="str">
            <v>AŽD 71</v>
          </cell>
          <cell r="G287" t="str">
            <v>PZ 2426/01-E.49</v>
          </cell>
          <cell r="H287">
            <v>44510</v>
          </cell>
        </row>
        <row r="288">
          <cell r="E288">
            <v>24.292000000000002</v>
          </cell>
          <cell r="F288" t="str">
            <v>AŽD 71 + E.D.</v>
          </cell>
          <cell r="G288" t="str">
            <v>PZ 10162/96-E.49</v>
          </cell>
          <cell r="H288">
            <v>43970</v>
          </cell>
        </row>
        <row r="289">
          <cell r="E289">
            <v>30.338999999999999</v>
          </cell>
          <cell r="F289" t="str">
            <v>AŽD 71</v>
          </cell>
          <cell r="G289" t="str">
            <v>PZ 12059/96-E.49</v>
          </cell>
          <cell r="H289">
            <v>44362</v>
          </cell>
        </row>
        <row r="293">
          <cell r="E293" t="str">
            <v>km</v>
          </cell>
          <cell r="F293" t="str">
            <v>typ</v>
          </cell>
          <cell r="G293" t="str">
            <v>číslo PZ</v>
          </cell>
          <cell r="H293" t="str">
            <v>Poslední protokol UTZ</v>
          </cell>
        </row>
        <row r="294">
          <cell r="E294">
            <v>6.24</v>
          </cell>
          <cell r="F294" t="str">
            <v>PZZ-K (AZ)</v>
          </cell>
          <cell r="G294" t="str">
            <v>PZ 0601/05-E.49</v>
          </cell>
          <cell r="H294">
            <v>43840</v>
          </cell>
        </row>
        <row r="295">
          <cell r="E295">
            <v>11.494999999999999</v>
          </cell>
          <cell r="F295" t="str">
            <v>PZZ-RE</v>
          </cell>
          <cell r="G295" t="str">
            <v>PZ 0489/14-E.49</v>
          </cell>
          <cell r="H295">
            <v>43572</v>
          </cell>
        </row>
        <row r="296">
          <cell r="E296">
            <v>16.167999999999999</v>
          </cell>
          <cell r="F296" t="str">
            <v>PZZ-RE (AZ)</v>
          </cell>
          <cell r="G296" t="str">
            <v>PZ 0613/21-E.47</v>
          </cell>
          <cell r="H296">
            <v>44427</v>
          </cell>
        </row>
        <row r="297">
          <cell r="E297">
            <v>20.905000000000001</v>
          </cell>
          <cell r="F297" t="str">
            <v>AŽD 71</v>
          </cell>
          <cell r="G297" t="str">
            <v>PZ 12078/96-E.49</v>
          </cell>
          <cell r="H297">
            <v>44428</v>
          </cell>
        </row>
        <row r="298">
          <cell r="E298">
            <v>28.872</v>
          </cell>
          <cell r="F298" t="str">
            <v>PZZ-RE</v>
          </cell>
          <cell r="G298" t="str">
            <v>PZ 1011/20-E.49</v>
          </cell>
          <cell r="H298">
            <v>43971</v>
          </cell>
        </row>
        <row r="299">
          <cell r="E299">
            <v>31.678000000000001</v>
          </cell>
          <cell r="F299" t="str">
            <v>PZZ-RE</v>
          </cell>
          <cell r="G299" t="str">
            <v>PZ 2423/16-E.49</v>
          </cell>
          <cell r="H299">
            <v>44463</v>
          </cell>
        </row>
        <row r="300">
          <cell r="E300">
            <v>33.305999999999997</v>
          </cell>
          <cell r="F300" t="str">
            <v>PZZ-RE</v>
          </cell>
          <cell r="G300" t="str">
            <v>PZ 2424/16-E.49</v>
          </cell>
          <cell r="H300">
            <v>44463</v>
          </cell>
        </row>
        <row r="301">
          <cell r="E301">
            <v>36.756</v>
          </cell>
          <cell r="F301" t="str">
            <v>PZZ-RE (AZ)</v>
          </cell>
          <cell r="G301" t="str">
            <v>PZ 1416/21-E.49</v>
          </cell>
          <cell r="H301">
            <v>44486</v>
          </cell>
        </row>
        <row r="302">
          <cell r="E302">
            <v>41.34</v>
          </cell>
          <cell r="F302" t="str">
            <v>PZZ-RE</v>
          </cell>
          <cell r="G302" t="str">
            <v>PZ 1389/16-E.49</v>
          </cell>
          <cell r="H302">
            <v>44463</v>
          </cell>
        </row>
        <row r="303">
          <cell r="E303">
            <v>53.454000000000001</v>
          </cell>
          <cell r="F303" t="str">
            <v>PZZ-RE</v>
          </cell>
          <cell r="G303" t="str">
            <v>PZ 1388/16-E.49</v>
          </cell>
          <cell r="H303">
            <v>44463</v>
          </cell>
        </row>
        <row r="304">
          <cell r="E304">
            <v>56.356999999999999</v>
          </cell>
          <cell r="F304" t="str">
            <v>AŽD 71</v>
          </cell>
          <cell r="G304" t="str">
            <v>PZ 12079/96-E.49</v>
          </cell>
          <cell r="H304">
            <v>44428</v>
          </cell>
        </row>
        <row r="305">
          <cell r="E305">
            <v>57.996000000000002</v>
          </cell>
          <cell r="F305" t="str">
            <v>AŽD 71 + E.D.</v>
          </cell>
          <cell r="G305" t="str">
            <v>PZ 12080/96-E.49</v>
          </cell>
          <cell r="H305">
            <v>43840</v>
          </cell>
        </row>
        <row r="306">
          <cell r="E306">
            <v>71.822999999999993</v>
          </cell>
          <cell r="F306" t="str">
            <v>PZZ-K (AZ)</v>
          </cell>
          <cell r="G306" t="str">
            <v>PZ 1425/22-E.49</v>
          </cell>
          <cell r="H306">
            <v>44741</v>
          </cell>
        </row>
        <row r="307">
          <cell r="E307" t="str">
            <v>75,081+ 11,242</v>
          </cell>
          <cell r="F307" t="str">
            <v>PZZ-K</v>
          </cell>
          <cell r="G307" t="str">
            <v>PZ 0944/11-E.49</v>
          </cell>
          <cell r="H307">
            <v>44273</v>
          </cell>
        </row>
        <row r="311">
          <cell r="E311" t="str">
            <v>km</v>
          </cell>
          <cell r="F311" t="str">
            <v>typ</v>
          </cell>
          <cell r="G311" t="str">
            <v>číslo PZ</v>
          </cell>
          <cell r="H311" t="str">
            <v>Poslední protokol UTZ</v>
          </cell>
        </row>
        <row r="312">
          <cell r="E312">
            <v>293.20400000000001</v>
          </cell>
          <cell r="F312" t="str">
            <v>AŽD 71 (AZ)</v>
          </cell>
          <cell r="G312" t="str">
            <v>PZ 0540/99-E.48</v>
          </cell>
          <cell r="H312">
            <v>43559</v>
          </cell>
        </row>
        <row r="313">
          <cell r="E313">
            <v>304.12099999999998</v>
          </cell>
          <cell r="F313" t="str">
            <v>PZZ-RE (AZ)</v>
          </cell>
          <cell r="G313" t="str">
            <v>PZ 0786/22-E.49</v>
          </cell>
          <cell r="H313">
            <v>44693</v>
          </cell>
        </row>
        <row r="314">
          <cell r="E314">
            <v>304.77</v>
          </cell>
          <cell r="F314" t="str">
            <v>AŽD 71+SMN</v>
          </cell>
          <cell r="G314" t="str">
            <v>PZ 2428/01-E.48</v>
          </cell>
          <cell r="H314">
            <v>44299</v>
          </cell>
        </row>
        <row r="315">
          <cell r="E315">
            <v>306.24700000000001</v>
          </cell>
          <cell r="F315" t="str">
            <v>AŽD 71</v>
          </cell>
          <cell r="G315" t="str">
            <v>PZ 2656/03-E.49</v>
          </cell>
          <cell r="H315">
            <v>45181</v>
          </cell>
        </row>
        <row r="316">
          <cell r="E316">
            <v>313.375</v>
          </cell>
          <cell r="F316" t="str">
            <v>AŽD 71 (AZ)</v>
          </cell>
          <cell r="G316" t="str">
            <v>PZ 4581/96-E.49</v>
          </cell>
          <cell r="H316">
            <v>44903</v>
          </cell>
        </row>
        <row r="317">
          <cell r="E317">
            <v>314.19099999999997</v>
          </cell>
          <cell r="F317" t="str">
            <v>AŽD 71 + E.D. (AZ)</v>
          </cell>
          <cell r="G317" t="str">
            <v>PZ 4582/96-E.49</v>
          </cell>
          <cell r="H317">
            <v>44700</v>
          </cell>
        </row>
        <row r="318">
          <cell r="E318">
            <v>317.23200000000003</v>
          </cell>
          <cell r="F318" t="str">
            <v>PZZ-K (AZ)</v>
          </cell>
          <cell r="G318" t="str">
            <v>PZ 1179/07-E.49</v>
          </cell>
          <cell r="H318">
            <v>44663</v>
          </cell>
        </row>
        <row r="319">
          <cell r="E319">
            <v>317.76299999999998</v>
          </cell>
          <cell r="F319" t="str">
            <v>PZZ-K</v>
          </cell>
          <cell r="G319" t="str">
            <v>PZ 1180/07-E.49</v>
          </cell>
          <cell r="H319">
            <v>44663</v>
          </cell>
        </row>
        <row r="320">
          <cell r="E320">
            <v>319.916</v>
          </cell>
          <cell r="F320" t="str">
            <v>AŽD 71+SMN</v>
          </cell>
          <cell r="G320" t="str">
            <v>PZ 12025/96-E.49</v>
          </cell>
          <cell r="H320">
            <v>44949</v>
          </cell>
        </row>
        <row r="321">
          <cell r="E321">
            <v>320.12099999999998</v>
          </cell>
          <cell r="F321" t="str">
            <v>AŽD 71+SMN</v>
          </cell>
          <cell r="G321" t="str">
            <v>PZ 12024/96-E.49</v>
          </cell>
          <cell r="H321">
            <v>44949</v>
          </cell>
        </row>
        <row r="322">
          <cell r="E322">
            <v>322.52199999999999</v>
          </cell>
          <cell r="F322" t="str">
            <v>AŽD 71 + E.D.</v>
          </cell>
          <cell r="G322" t="str">
            <v>PZ 12023/96-E.49</v>
          </cell>
          <cell r="H322">
            <v>44998</v>
          </cell>
        </row>
        <row r="323">
          <cell r="E323">
            <v>323.27800000000002</v>
          </cell>
          <cell r="F323" t="str">
            <v>AŽD 71 + E.D.</v>
          </cell>
          <cell r="G323" t="str">
            <v>PZ 12022/96-E.49</v>
          </cell>
          <cell r="H323">
            <v>44998</v>
          </cell>
        </row>
        <row r="324">
          <cell r="E324">
            <v>324.20499999999998</v>
          </cell>
          <cell r="F324" t="str">
            <v>AŽD 71 + E.D.</v>
          </cell>
          <cell r="G324" t="str">
            <v>PZ 12021/96-E.49</v>
          </cell>
          <cell r="H324">
            <v>44998</v>
          </cell>
        </row>
        <row r="325">
          <cell r="E325">
            <v>325.04300000000001</v>
          </cell>
          <cell r="F325" t="str">
            <v>AŽD 71 (AZ)</v>
          </cell>
          <cell r="G325" t="str">
            <v>PZ 1342/95-E.49</v>
          </cell>
          <cell r="H325">
            <v>44075</v>
          </cell>
        </row>
        <row r="326">
          <cell r="E326">
            <v>327.56</v>
          </cell>
          <cell r="F326" t="str">
            <v>PZZ-K</v>
          </cell>
          <cell r="G326" t="str">
            <v>PZ 0947/09-E.49</v>
          </cell>
          <cell r="H326">
            <v>43558</v>
          </cell>
        </row>
        <row r="327">
          <cell r="E327">
            <v>328.577</v>
          </cell>
          <cell r="F327" t="str">
            <v>PZZ-K (AZ)</v>
          </cell>
          <cell r="G327" t="str">
            <v>PZ 0946/09-E.49</v>
          </cell>
          <cell r="H327">
            <v>43558</v>
          </cell>
        </row>
        <row r="328">
          <cell r="E328">
            <v>330.45400000000001</v>
          </cell>
          <cell r="F328" t="str">
            <v>AŽD 71</v>
          </cell>
          <cell r="G328" t="str">
            <v>PZ 1740/97-E.48</v>
          </cell>
          <cell r="H328">
            <v>44749</v>
          </cell>
        </row>
        <row r="329">
          <cell r="E329">
            <v>331.01900000000001</v>
          </cell>
          <cell r="F329" t="str">
            <v>AŽD 71</v>
          </cell>
          <cell r="G329" t="str">
            <v>PZ 1739/97-E.48</v>
          </cell>
          <cell r="H329">
            <v>44749</v>
          </cell>
        </row>
        <row r="330">
          <cell r="E330">
            <v>331.46899999999999</v>
          </cell>
          <cell r="F330" t="str">
            <v>AŽD 71</v>
          </cell>
          <cell r="G330" t="str">
            <v>PZ 1738/97-E.48</v>
          </cell>
          <cell r="H330">
            <v>44749</v>
          </cell>
        </row>
        <row r="331">
          <cell r="E331">
            <v>334.23399999999998</v>
          </cell>
          <cell r="F331" t="str">
            <v>AŽD 71</v>
          </cell>
          <cell r="G331" t="str">
            <v>PZ 0536/00-E.48</v>
          </cell>
          <cell r="H331">
            <v>43846</v>
          </cell>
        </row>
        <row r="332">
          <cell r="E332">
            <v>336.11099999999999</v>
          </cell>
          <cell r="F332" t="str">
            <v>AŽD 71 (AZ)</v>
          </cell>
          <cell r="G332" t="str">
            <v>PZ 0537/00-E.48</v>
          </cell>
          <cell r="H332">
            <v>43847</v>
          </cell>
        </row>
        <row r="333">
          <cell r="E333">
            <v>338.774</v>
          </cell>
          <cell r="F333" t="str">
            <v>AŽD 71</v>
          </cell>
          <cell r="G333" t="str">
            <v>PZ 0506/00-E.49</v>
          </cell>
          <cell r="H333">
            <v>43605</v>
          </cell>
        </row>
        <row r="334">
          <cell r="E334">
            <v>339.65800000000002</v>
          </cell>
          <cell r="F334" t="str">
            <v>AŽD 71 (AZ)</v>
          </cell>
          <cell r="G334" t="str">
            <v>PZ 0507/00-E.49</v>
          </cell>
          <cell r="H334">
            <v>43605</v>
          </cell>
        </row>
        <row r="335">
          <cell r="E335">
            <v>348.39800000000002</v>
          </cell>
          <cell r="F335" t="str">
            <v>PZZ-AC</v>
          </cell>
          <cell r="G335" t="str">
            <v>PZ 1715/20-E.49</v>
          </cell>
          <cell r="H335">
            <v>44581</v>
          </cell>
        </row>
        <row r="341">
          <cell r="C341" t="str">
            <v>Umístění</v>
          </cell>
          <cell r="D341" t="str">
            <v>Trať</v>
          </cell>
          <cell r="E341" t="str">
            <v>km</v>
          </cell>
          <cell r="F341" t="str">
            <v>typ</v>
          </cell>
          <cell r="G341" t="str">
            <v>číslo PZ</v>
          </cell>
          <cell r="H341" t="str">
            <v>Poslední protokol UTZ</v>
          </cell>
        </row>
        <row r="342">
          <cell r="C342" t="str">
            <v>Stupno</v>
          </cell>
          <cell r="D342" t="str">
            <v>Chrást-Radnice</v>
          </cell>
          <cell r="F342" t="str">
            <v>Samovraty</v>
          </cell>
          <cell r="G342" t="str">
            <v>PZ 1848/19-E.59</v>
          </cell>
          <cell r="H342">
            <v>43749</v>
          </cell>
        </row>
        <row r="346">
          <cell r="C346" t="str">
            <v>Umístění</v>
          </cell>
          <cell r="D346" t="str">
            <v>Trať</v>
          </cell>
          <cell r="E346" t="str">
            <v>km</v>
          </cell>
          <cell r="F346" t="str">
            <v>typ</v>
          </cell>
          <cell r="G346" t="str">
            <v>číslo PZ</v>
          </cell>
          <cell r="H346" t="str">
            <v>Poslední protokol UTZ</v>
          </cell>
        </row>
        <row r="347">
          <cell r="C347" t="str">
            <v>Příkosice</v>
          </cell>
          <cell r="D347" t="str">
            <v>Rokycany-Nezvěstice</v>
          </cell>
          <cell r="F347" t="str">
            <v>ESA11</v>
          </cell>
          <cell r="G347" t="str">
            <v>PZ 1994/16-E.49</v>
          </cell>
          <cell r="H347">
            <v>44480</v>
          </cell>
        </row>
        <row r="348">
          <cell r="C348" t="str">
            <v>Mirošov</v>
          </cell>
          <cell r="D348" t="str">
            <v>Rokycany-Nezvěstice</v>
          </cell>
          <cell r="F348" t="str">
            <v>ESA11</v>
          </cell>
          <cell r="G348" t="str">
            <v>PZ 1995/16-E.49</v>
          </cell>
          <cell r="H348">
            <v>44482</v>
          </cell>
        </row>
        <row r="352">
          <cell r="C352" t="str">
            <v>Umístění</v>
          </cell>
          <cell r="D352" t="str">
            <v>Trať</v>
          </cell>
          <cell r="E352" t="str">
            <v>km</v>
          </cell>
          <cell r="F352" t="str">
            <v>typ</v>
          </cell>
          <cell r="G352" t="str">
            <v>číslo PZ</v>
          </cell>
          <cell r="H352" t="str">
            <v>Poslední protokol UTZ</v>
          </cell>
        </row>
        <row r="353">
          <cell r="C353" t="str">
            <v>Vejprnice</v>
          </cell>
          <cell r="D353" t="str">
            <v>Plzeň-Česká Kubice</v>
          </cell>
          <cell r="F353" t="str">
            <v>RZZ</v>
          </cell>
          <cell r="G353" t="str">
            <v>PZ 10164/96-E.49</v>
          </cell>
          <cell r="H353">
            <v>44327</v>
          </cell>
        </row>
        <row r="354">
          <cell r="C354" t="str">
            <v>Nýřany</v>
          </cell>
          <cell r="D354" t="str">
            <v>Plzeň-Česká Kubice</v>
          </cell>
          <cell r="F354" t="str">
            <v>RZZ</v>
          </cell>
          <cell r="G354" t="str">
            <v>PZ 0967/08-E.49</v>
          </cell>
          <cell r="H354">
            <v>45187</v>
          </cell>
        </row>
        <row r="355">
          <cell r="C355" t="str">
            <v>výh. Chotěšov</v>
          </cell>
          <cell r="D355" t="str">
            <v>Plzeň-Česká Kubice</v>
          </cell>
          <cell r="F355" t="str">
            <v>DO RZZ</v>
          </cell>
          <cell r="G355" t="str">
            <v>PZ 10166/96-E.49</v>
          </cell>
          <cell r="H355">
            <v>44327</v>
          </cell>
        </row>
        <row r="356">
          <cell r="C356" t="str">
            <v>Stod</v>
          </cell>
          <cell r="D356" t="str">
            <v>Plzeň-Česká Kubice</v>
          </cell>
          <cell r="F356" t="str">
            <v>RZZ</v>
          </cell>
          <cell r="G356" t="str">
            <v>PZ 10167/96-E.49</v>
          </cell>
          <cell r="H356">
            <v>44356</v>
          </cell>
        </row>
        <row r="357">
          <cell r="C357" t="str">
            <v>Holýšov</v>
          </cell>
          <cell r="D357" t="str">
            <v>Plzeň-Česká Kubice</v>
          </cell>
          <cell r="F357" t="str">
            <v>ŘSt + St1</v>
          </cell>
          <cell r="G357" t="str">
            <v>PZ 12085/96-E.49</v>
          </cell>
          <cell r="H357">
            <v>44361</v>
          </cell>
        </row>
        <row r="358">
          <cell r="C358" t="str">
            <v>Staňkov + odb. Vránov</v>
          </cell>
          <cell r="D358" t="str">
            <v>Plzeň-Česká Kubice</v>
          </cell>
          <cell r="F358" t="str">
            <v>RZZ</v>
          </cell>
          <cell r="G358" t="str">
            <v>PZ 12088/96-E.49</v>
          </cell>
          <cell r="H358">
            <v>44336</v>
          </cell>
        </row>
        <row r="359">
          <cell r="C359" t="str">
            <v>Blížejov</v>
          </cell>
          <cell r="D359" t="str">
            <v>Plzeň-Česká Kubice</v>
          </cell>
          <cell r="F359" t="str">
            <v>ÚSt</v>
          </cell>
          <cell r="G359" t="str">
            <v>PZ 10292/96-E.49</v>
          </cell>
          <cell r="H359">
            <v>44340</v>
          </cell>
        </row>
        <row r="360">
          <cell r="C360" t="str">
            <v>výh. Radonice</v>
          </cell>
          <cell r="D360" t="str">
            <v>Plzeň-Česká Kubice</v>
          </cell>
          <cell r="F360" t="str">
            <v>DO RZZ</v>
          </cell>
          <cell r="G360" t="str">
            <v>PZ 10293/96-E.49</v>
          </cell>
          <cell r="H360">
            <v>44334</v>
          </cell>
        </row>
        <row r="361">
          <cell r="C361" t="str">
            <v>Domažlice+Pasečnice</v>
          </cell>
          <cell r="D361" t="str">
            <v>Plzeň-Česká Kubice</v>
          </cell>
          <cell r="F361" t="str">
            <v>RZZ + čísl.volba</v>
          </cell>
          <cell r="G361" t="str">
            <v>PZ 10144/96-E.49</v>
          </cell>
          <cell r="H361">
            <v>45224</v>
          </cell>
        </row>
        <row r="362">
          <cell r="C362" t="str">
            <v>Česká Kubice</v>
          </cell>
          <cell r="D362" t="str">
            <v>Plzeň-Česká Kubice</v>
          </cell>
          <cell r="F362" t="str">
            <v>ESA11</v>
          </cell>
          <cell r="G362" t="str">
            <v>PZ 1325/09-E.49</v>
          </cell>
          <cell r="H362">
            <v>43565</v>
          </cell>
        </row>
        <row r="366">
          <cell r="C366" t="str">
            <v>Umístění</v>
          </cell>
          <cell r="D366" t="str">
            <v>Trať</v>
          </cell>
          <cell r="E366" t="str">
            <v>km</v>
          </cell>
          <cell r="F366" t="str">
            <v>typ</v>
          </cell>
          <cell r="G366" t="str">
            <v>číslo PZ</v>
          </cell>
          <cell r="H366" t="str">
            <v>Poslední protokol UTZ</v>
          </cell>
        </row>
        <row r="367">
          <cell r="C367" t="str">
            <v>Horšovský Týn</v>
          </cell>
          <cell r="D367" t="str">
            <v>Poběžovice-Staňkov</v>
          </cell>
          <cell r="F367" t="str">
            <v>ÚSt</v>
          </cell>
          <cell r="G367" t="str">
            <v>PZ 12090/96-E.49</v>
          </cell>
          <cell r="H367">
            <v>44400</v>
          </cell>
        </row>
        <row r="371">
          <cell r="C371" t="str">
            <v>Umístění</v>
          </cell>
          <cell r="D371" t="str">
            <v>Trať</v>
          </cell>
          <cell r="E371" t="str">
            <v>km</v>
          </cell>
          <cell r="F371" t="str">
            <v>typ</v>
          </cell>
          <cell r="G371" t="str">
            <v>číslo PZ</v>
          </cell>
          <cell r="H371" t="str">
            <v>Poslední protokol UTZ</v>
          </cell>
        </row>
        <row r="372">
          <cell r="C372" t="str">
            <v>Plzeň Valcha</v>
          </cell>
          <cell r="D372" t="str">
            <v>Plzeň-Železná Ruda</v>
          </cell>
          <cell r="F372" t="str">
            <v>ESA11</v>
          </cell>
          <cell r="G372" t="str">
            <v>PZ 1784/09-E.49</v>
          </cell>
          <cell r="H372">
            <v>43738</v>
          </cell>
        </row>
        <row r="373">
          <cell r="C373" t="str">
            <v>Dobřany</v>
          </cell>
          <cell r="D373" t="str">
            <v>Plzeň-Železná Ruda</v>
          </cell>
          <cell r="F373" t="str">
            <v>ESA 11</v>
          </cell>
          <cell r="G373" t="str">
            <v>PZ 1785/09-E.49</v>
          </cell>
          <cell r="H373">
            <v>43734</v>
          </cell>
        </row>
        <row r="374">
          <cell r="C374" t="str">
            <v>Chlumčany u Dobřan</v>
          </cell>
          <cell r="D374" t="str">
            <v>Plzeň-Železná Ruda</v>
          </cell>
          <cell r="F374" t="str">
            <v>ESA 11</v>
          </cell>
          <cell r="G374" t="str">
            <v>PZ 1783/09-E.49</v>
          </cell>
          <cell r="H374">
            <v>43669</v>
          </cell>
        </row>
        <row r="375">
          <cell r="C375" t="str">
            <v>Přeštice</v>
          </cell>
          <cell r="D375" t="str">
            <v>Plzeň-Železná Ruda</v>
          </cell>
          <cell r="F375" t="str">
            <v>ESA 11</v>
          </cell>
          <cell r="G375" t="str">
            <v>PZ 1782/09-E.49</v>
          </cell>
          <cell r="H375">
            <v>43711</v>
          </cell>
        </row>
        <row r="376">
          <cell r="C376" t="str">
            <v>Švihov u Klatov</v>
          </cell>
          <cell r="D376" t="str">
            <v>Plzeň-Železná Ruda</v>
          </cell>
          <cell r="F376" t="str">
            <v>ESA 11</v>
          </cell>
          <cell r="G376" t="str">
            <v>PZ 1781/09-E.49</v>
          </cell>
          <cell r="H376">
            <v>43706</v>
          </cell>
        </row>
        <row r="377">
          <cell r="C377" t="str">
            <v>JOP Klatovy</v>
          </cell>
          <cell r="D377" t="str">
            <v>Plzeň-Železná Ruda</v>
          </cell>
          <cell r="F377" t="str">
            <v>ESA 11</v>
          </cell>
          <cell r="G377" t="str">
            <v>PZ 1780/09-E.49</v>
          </cell>
          <cell r="H377">
            <v>43710</v>
          </cell>
        </row>
        <row r="378">
          <cell r="C378" t="str">
            <v>Klatovy</v>
          </cell>
          <cell r="D378" t="str">
            <v>Plzeň-Železná Ruda</v>
          </cell>
          <cell r="F378" t="str">
            <v>RZZ</v>
          </cell>
          <cell r="G378" t="str">
            <v>PZ 2531/96-E.49</v>
          </cell>
          <cell r="H378">
            <v>44085</v>
          </cell>
        </row>
        <row r="379">
          <cell r="C379" t="str">
            <v>Janovice nad Úhlavou</v>
          </cell>
          <cell r="D379" t="str">
            <v>Plzeň-Železná Ruda</v>
          </cell>
          <cell r="F379" t="str">
            <v>ESA11</v>
          </cell>
          <cell r="G379" t="str">
            <v>PZ 2734/15-E.49</v>
          </cell>
          <cell r="H379">
            <v>44123</v>
          </cell>
        </row>
        <row r="380">
          <cell r="C380" t="str">
            <v>Nýrsko</v>
          </cell>
          <cell r="D380" t="str">
            <v>Plzeň-Železná Ruda</v>
          </cell>
          <cell r="F380" t="str">
            <v>ESA11</v>
          </cell>
          <cell r="G380" t="str">
            <v>PZ 2735/15-E.49</v>
          </cell>
          <cell r="H380">
            <v>44113</v>
          </cell>
        </row>
        <row r="381">
          <cell r="C381" t="str">
            <v>Zelená Lhota</v>
          </cell>
          <cell r="D381" t="str">
            <v>Plzeň-Železná Ruda</v>
          </cell>
          <cell r="F381" t="str">
            <v>ESA11</v>
          </cell>
          <cell r="G381" t="str">
            <v>PZ 2978/15-E.49</v>
          </cell>
          <cell r="H381">
            <v>44158</v>
          </cell>
        </row>
        <row r="382">
          <cell r="C382" t="str">
            <v>Hamry-Hojsova Stráž</v>
          </cell>
          <cell r="D382" t="str">
            <v>Plzeň-Železná Ruda</v>
          </cell>
          <cell r="F382" t="str">
            <v>ESA11</v>
          </cell>
          <cell r="G382" t="str">
            <v>PZ 2972/15-E.49</v>
          </cell>
          <cell r="H382">
            <v>44158</v>
          </cell>
        </row>
        <row r="383">
          <cell r="C383" t="str">
            <v>Špičák</v>
          </cell>
          <cell r="D383" t="str">
            <v>Plzeň-Železná Ruda</v>
          </cell>
          <cell r="F383" t="str">
            <v>ESA11</v>
          </cell>
          <cell r="G383" t="str">
            <v>PZ 2971/15-E.49</v>
          </cell>
          <cell r="H383">
            <v>44159</v>
          </cell>
        </row>
        <row r="384">
          <cell r="C384" t="str">
            <v>Železná Ruda-Alžbětín</v>
          </cell>
          <cell r="D384" t="str">
            <v>Plzeň-Železná Ruda</v>
          </cell>
          <cell r="F384" t="str">
            <v>ESA11</v>
          </cell>
          <cell r="G384" t="str">
            <v>PZ 2973/15-E.49</v>
          </cell>
          <cell r="H384">
            <v>44160</v>
          </cell>
        </row>
        <row r="388">
          <cell r="C388" t="str">
            <v>Umístění</v>
          </cell>
          <cell r="D388" t="str">
            <v>Trať</v>
          </cell>
          <cell r="E388" t="str">
            <v>km</v>
          </cell>
          <cell r="F388" t="str">
            <v>typ</v>
          </cell>
          <cell r="G388" t="str">
            <v>číslo PZ</v>
          </cell>
          <cell r="H388" t="str">
            <v>Poslední protokol UTZ</v>
          </cell>
        </row>
        <row r="389">
          <cell r="C389" t="str">
            <v>Třemošná</v>
          </cell>
          <cell r="D389" t="str">
            <v>Plzeň-Žatec</v>
          </cell>
          <cell r="F389" t="str">
            <v>Kaznějov ESA11 decentralizovaná</v>
          </cell>
          <cell r="G389" t="str">
            <v>PZ 0594/06-E.49</v>
          </cell>
          <cell r="H389">
            <v>44415</v>
          </cell>
        </row>
        <row r="390">
          <cell r="C390" t="str">
            <v>Horní Bříza</v>
          </cell>
          <cell r="D390" t="str">
            <v>Plzeň-Žatec</v>
          </cell>
          <cell r="F390" t="str">
            <v>Kaznějov ESA11 decentralizovaná</v>
          </cell>
          <cell r="G390" t="str">
            <v>PZ 0594/06-E.49</v>
          </cell>
          <cell r="H390">
            <v>44415</v>
          </cell>
        </row>
        <row r="391">
          <cell r="C391" t="str">
            <v>Kaznějov</v>
          </cell>
          <cell r="D391" t="str">
            <v>Plzeň-Žatec</v>
          </cell>
          <cell r="F391" t="str">
            <v>Kaznějov ESA11 decentralizovaná</v>
          </cell>
          <cell r="G391" t="str">
            <v>PZ 0594/06-E.49</v>
          </cell>
          <cell r="H391">
            <v>44415</v>
          </cell>
        </row>
        <row r="392">
          <cell r="C392" t="str">
            <v>Plasy</v>
          </cell>
          <cell r="D392" t="str">
            <v>Plzeň-Žatec</v>
          </cell>
          <cell r="F392" t="str">
            <v>Kaznějov ESA11 decentralizovaná</v>
          </cell>
          <cell r="G392" t="str">
            <v>PZ 0594/06-E.49</v>
          </cell>
          <cell r="H392">
            <v>44415</v>
          </cell>
        </row>
        <row r="393">
          <cell r="C393" t="str">
            <v>Mladotice</v>
          </cell>
          <cell r="D393" t="str">
            <v>Plzeň-Žatec</v>
          </cell>
          <cell r="G393" t="str">
            <v>PZ 0595/06-E.49</v>
          </cell>
          <cell r="H393">
            <v>44411</v>
          </cell>
        </row>
        <row r="394">
          <cell r="C394" t="str">
            <v>Žihle</v>
          </cell>
          <cell r="D394" t="str">
            <v>Plzeň-Žatec</v>
          </cell>
          <cell r="G394" t="str">
            <v>PZ 0595/06-E.49</v>
          </cell>
          <cell r="H394">
            <v>44420</v>
          </cell>
        </row>
        <row r="398">
          <cell r="C398" t="str">
            <v>Umístění</v>
          </cell>
          <cell r="D398" t="str">
            <v>Trať</v>
          </cell>
          <cell r="E398" t="str">
            <v>km</v>
          </cell>
          <cell r="F398" t="str">
            <v>typ</v>
          </cell>
          <cell r="G398" t="str">
            <v>číslo PZ</v>
          </cell>
          <cell r="H398" t="str">
            <v>Poslední protokol UTZ</v>
          </cell>
        </row>
        <row r="399">
          <cell r="C399" t="str">
            <v>Ejpovice</v>
          </cell>
          <cell r="D399" t="str">
            <v>Praha-Plzeň</v>
          </cell>
          <cell r="F399" t="str">
            <v>ESA11</v>
          </cell>
          <cell r="G399" t="str">
            <v>PZ 0707/20-E.49</v>
          </cell>
          <cell r="H399">
            <v>43810</v>
          </cell>
        </row>
        <row r="400">
          <cell r="C400" t="str">
            <v>Rokycany</v>
          </cell>
          <cell r="D400" t="str">
            <v>Praha-Plzeň</v>
          </cell>
          <cell r="F400" t="str">
            <v>ESA11</v>
          </cell>
          <cell r="G400" t="str">
            <v>PZ 0708/13-E.49</v>
          </cell>
          <cell r="H400">
            <v>44804</v>
          </cell>
        </row>
        <row r="401">
          <cell r="C401" t="str">
            <v>Holoubkov</v>
          </cell>
          <cell r="D401" t="str">
            <v>Praha-Plzeň</v>
          </cell>
          <cell r="F401" t="str">
            <v>ESA11</v>
          </cell>
          <cell r="G401" t="str">
            <v>PZ 0707/13-E.49</v>
          </cell>
          <cell r="H401">
            <v>44398</v>
          </cell>
        </row>
        <row r="402">
          <cell r="C402" t="str">
            <v>Kařízek</v>
          </cell>
          <cell r="D402" t="str">
            <v>Praha-Plzeň</v>
          </cell>
          <cell r="F402" t="str">
            <v>ESA11</v>
          </cell>
          <cell r="G402" t="str">
            <v>PZ 0706/13-E.49</v>
          </cell>
          <cell r="H402">
            <v>44849</v>
          </cell>
        </row>
        <row r="403">
          <cell r="C403" t="str">
            <v>Zbiroh</v>
          </cell>
          <cell r="D403" t="str">
            <v>Praha-Plzeň</v>
          </cell>
          <cell r="F403" t="str">
            <v>ESA11</v>
          </cell>
          <cell r="G403" t="str">
            <v>PZ 705/13-E.49</v>
          </cell>
          <cell r="H403">
            <v>44701</v>
          </cell>
        </row>
        <row r="407">
          <cell r="C407" t="str">
            <v>Umístění</v>
          </cell>
          <cell r="D407" t="str">
            <v>Trať</v>
          </cell>
          <cell r="E407" t="str">
            <v>km</v>
          </cell>
          <cell r="F407" t="str">
            <v>typ</v>
          </cell>
          <cell r="G407" t="str">
            <v>číslo PZ</v>
          </cell>
          <cell r="H407" t="str">
            <v>Poslední protokol UTZ</v>
          </cell>
        </row>
        <row r="408">
          <cell r="C408" t="str">
            <v>Plzeň Křimice</v>
          </cell>
          <cell r="D408" t="str">
            <v>Plzeň-Cheb</v>
          </cell>
          <cell r="F408" t="str">
            <v>ESA11</v>
          </cell>
          <cell r="G408" t="str">
            <v>PZ 3010/06-E.49</v>
          </cell>
          <cell r="H408">
            <v>44508</v>
          </cell>
        </row>
        <row r="409">
          <cell r="C409" t="str">
            <v>Kozolupy</v>
          </cell>
          <cell r="D409" t="str">
            <v>Plzeň-Cheb</v>
          </cell>
          <cell r="F409" t="str">
            <v>ESA11</v>
          </cell>
          <cell r="G409" t="str">
            <v>PZ 1475/07-E.49</v>
          </cell>
          <cell r="H409">
            <v>44756</v>
          </cell>
        </row>
        <row r="410">
          <cell r="C410" t="str">
            <v>Pňovany</v>
          </cell>
          <cell r="D410" t="str">
            <v>Plzeň-Cheb</v>
          </cell>
          <cell r="F410" t="str">
            <v>ESA11</v>
          </cell>
          <cell r="G410" t="str">
            <v>PZ 2270/07-E.49</v>
          </cell>
          <cell r="H410">
            <v>44750</v>
          </cell>
        </row>
        <row r="411">
          <cell r="C411" t="str">
            <v>Vranov u Stříbra</v>
          </cell>
          <cell r="D411" t="str">
            <v>Plzeň-Cheb</v>
          </cell>
          <cell r="F411" t="str">
            <v>ESA11</v>
          </cell>
          <cell r="G411" t="str">
            <v>PZ 0357/08-E.49</v>
          </cell>
          <cell r="H411">
            <v>44978</v>
          </cell>
        </row>
        <row r="412">
          <cell r="C412" t="str">
            <v>Stříbro</v>
          </cell>
          <cell r="D412" t="str">
            <v>Plzeň-Cheb</v>
          </cell>
          <cell r="F412" t="str">
            <v>ESA11</v>
          </cell>
          <cell r="G412" t="str">
            <v>PZ 0193/10-E.49</v>
          </cell>
          <cell r="H412">
            <v>43955</v>
          </cell>
        </row>
        <row r="413">
          <cell r="C413" t="str">
            <v>Milíkov</v>
          </cell>
          <cell r="D413" t="str">
            <v>Plzeň-Cheb</v>
          </cell>
          <cell r="F413" t="str">
            <v>ESA11</v>
          </cell>
          <cell r="G413" t="str">
            <v>PZ 0194/10-E.49</v>
          </cell>
          <cell r="H413">
            <v>43937</v>
          </cell>
        </row>
        <row r="414">
          <cell r="C414" t="str">
            <v>Svojšín</v>
          </cell>
          <cell r="D414" t="str">
            <v>Plzeň-Cheb</v>
          </cell>
          <cell r="F414" t="str">
            <v>ESA11</v>
          </cell>
          <cell r="G414" t="str">
            <v>PZ 718/12-E.49</v>
          </cell>
          <cell r="H414">
            <v>43628</v>
          </cell>
        </row>
        <row r="415">
          <cell r="C415" t="str">
            <v>Ošelín</v>
          </cell>
          <cell r="D415" t="str">
            <v>Plzeň-Cheb</v>
          </cell>
          <cell r="F415" t="str">
            <v>ESA11</v>
          </cell>
          <cell r="G415" t="str">
            <v>PZ 723/12-E.49</v>
          </cell>
          <cell r="H415">
            <v>44257</v>
          </cell>
        </row>
        <row r="416">
          <cell r="C416" t="str">
            <v>Pavlovice</v>
          </cell>
          <cell r="D416" t="str">
            <v>Plzeň-Cheb</v>
          </cell>
          <cell r="F416" t="str">
            <v>ESA11</v>
          </cell>
          <cell r="G416" t="str">
            <v>PZ 721/12-E.49</v>
          </cell>
          <cell r="H416">
            <v>43655</v>
          </cell>
        </row>
        <row r="417">
          <cell r="C417" t="str">
            <v>Brod nad Tichou</v>
          </cell>
          <cell r="D417" t="str">
            <v>Plzeň-Cheb</v>
          </cell>
          <cell r="F417" t="str">
            <v>ESA11</v>
          </cell>
          <cell r="G417" t="str">
            <v>PZ 1717/09-E.49</v>
          </cell>
          <cell r="H417">
            <v>43623</v>
          </cell>
        </row>
        <row r="418">
          <cell r="C418" t="str">
            <v>Planá u Mar .Lázní</v>
          </cell>
          <cell r="D418" t="str">
            <v>Plzeň-Cheb</v>
          </cell>
          <cell r="F418" t="str">
            <v>ESA11</v>
          </cell>
          <cell r="G418" t="str">
            <v>PZ 1711/09-E.49</v>
          </cell>
          <cell r="H418">
            <v>43634</v>
          </cell>
        </row>
        <row r="419">
          <cell r="C419" t="str">
            <v>Chodová Planá</v>
          </cell>
          <cell r="D419" t="str">
            <v>Plzeň-Cheb</v>
          </cell>
          <cell r="F419" t="str">
            <v>ESA11</v>
          </cell>
          <cell r="G419" t="str">
            <v>PZ 2474/09-E.49</v>
          </cell>
          <cell r="H419">
            <v>43789</v>
          </cell>
        </row>
        <row r="423">
          <cell r="C423" t="str">
            <v>Umístění</v>
          </cell>
          <cell r="D423" t="str">
            <v>Trať</v>
          </cell>
          <cell r="E423" t="str">
            <v>km</v>
          </cell>
          <cell r="F423" t="str">
            <v>typ</v>
          </cell>
          <cell r="G423" t="str">
            <v>číslo PZ</v>
          </cell>
          <cell r="H423" t="str">
            <v>Poslední protokol UTZ</v>
          </cell>
        </row>
        <row r="424">
          <cell r="C424" t="str">
            <v>Horažďovice město</v>
          </cell>
          <cell r="D424" t="str">
            <v>Horažďovice př.-Klatovy</v>
          </cell>
          <cell r="F424" t="str">
            <v>ŘP + St1 + St2</v>
          </cell>
          <cell r="G424" t="str">
            <v>PZ 10168/96-E.49</v>
          </cell>
          <cell r="H424">
            <v>44145</v>
          </cell>
        </row>
        <row r="425">
          <cell r="C425" t="str">
            <v>Velké Hydčice</v>
          </cell>
          <cell r="D425" t="str">
            <v>Horažďovice př.-Klatovy</v>
          </cell>
          <cell r="F425" t="str">
            <v>RZZ</v>
          </cell>
          <cell r="G425" t="str">
            <v>PZ 12092/96-E.49</v>
          </cell>
          <cell r="H425">
            <v>44364</v>
          </cell>
        </row>
        <row r="426">
          <cell r="C426" t="str">
            <v>Žichovice</v>
          </cell>
          <cell r="D426" t="str">
            <v>Horažďovice př.-Klatovy</v>
          </cell>
          <cell r="F426" t="str">
            <v>ÚSt</v>
          </cell>
          <cell r="G426" t="str">
            <v>PZ 10169/96-E.49</v>
          </cell>
          <cell r="H426">
            <v>44298</v>
          </cell>
        </row>
        <row r="427">
          <cell r="C427" t="str">
            <v>Sušice</v>
          </cell>
          <cell r="D427" t="str">
            <v>Horažďovice př.-Klatovy</v>
          </cell>
          <cell r="F427" t="str">
            <v>ŘP + St1 + St2</v>
          </cell>
          <cell r="G427" t="str">
            <v>PZ 10139/96-E.49</v>
          </cell>
          <cell r="H427">
            <v>44034</v>
          </cell>
        </row>
        <row r="428">
          <cell r="C428" t="str">
            <v>Hrádek u Sušice</v>
          </cell>
          <cell r="D428" t="str">
            <v>Horažďovice př.-Klatovy</v>
          </cell>
          <cell r="F428" t="str">
            <v>ŘSt1 + St2</v>
          </cell>
          <cell r="G428" t="str">
            <v>PZ 10170/96-E.49</v>
          </cell>
          <cell r="H428">
            <v>44378</v>
          </cell>
        </row>
        <row r="429">
          <cell r="C429" t="str">
            <v>Kolinec</v>
          </cell>
          <cell r="D429" t="str">
            <v>Horažďovice př.-Klatovy</v>
          </cell>
          <cell r="F429" t="str">
            <v>RZZ</v>
          </cell>
          <cell r="G429" t="str">
            <v>PZ 0955/19-E.49</v>
          </cell>
          <cell r="H429">
            <v>43641</v>
          </cell>
        </row>
        <row r="430">
          <cell r="C430" t="str">
            <v>Nemilkov</v>
          </cell>
          <cell r="D430" t="str">
            <v>Horažďovice př.-Klatovy</v>
          </cell>
          <cell r="F430" t="str">
            <v>ÚSt</v>
          </cell>
          <cell r="G430" t="str">
            <v>PZ 10140/96-E.49</v>
          </cell>
          <cell r="H430">
            <v>44126</v>
          </cell>
        </row>
        <row r="431">
          <cell r="C431" t="str">
            <v>Běšiny</v>
          </cell>
          <cell r="D431" t="str">
            <v>Horažďovice př.-Klatovy</v>
          </cell>
          <cell r="F431" t="str">
            <v>ŘSt1 + St2</v>
          </cell>
          <cell r="G431" t="str">
            <v>PZ 10141/96-E.49</v>
          </cell>
          <cell r="H431">
            <v>44126</v>
          </cell>
        </row>
        <row r="435">
          <cell r="C435" t="str">
            <v>Umístění</v>
          </cell>
          <cell r="D435" t="str">
            <v>Trať</v>
          </cell>
          <cell r="E435" t="str">
            <v>km</v>
          </cell>
          <cell r="F435" t="str">
            <v>typ</v>
          </cell>
          <cell r="G435" t="str">
            <v>číslo PZ</v>
          </cell>
          <cell r="H435" t="str">
            <v>Poslední protokol UTZ</v>
          </cell>
        </row>
        <row r="436">
          <cell r="C436" t="str">
            <v>Pocínovice</v>
          </cell>
          <cell r="D436" t="str">
            <v>Klatovy-Domažlice</v>
          </cell>
          <cell r="F436" t="str">
            <v>ÚSt</v>
          </cell>
          <cell r="G436" t="str">
            <v>PZ 1778/23-E.49</v>
          </cell>
          <cell r="H436">
            <v>44869</v>
          </cell>
        </row>
        <row r="437">
          <cell r="C437" t="str">
            <v>Kdyně</v>
          </cell>
          <cell r="D437" t="str">
            <v>Klatovy-Domažlice</v>
          </cell>
          <cell r="F437" t="str">
            <v>ÚSt</v>
          </cell>
          <cell r="G437" t="str">
            <v>PZ 1740/23-E.49</v>
          </cell>
          <cell r="H437">
            <v>45204</v>
          </cell>
        </row>
        <row r="441">
          <cell r="C441" t="str">
            <v>Umístění</v>
          </cell>
          <cell r="D441" t="str">
            <v>Trať</v>
          </cell>
          <cell r="E441" t="str">
            <v>km</v>
          </cell>
          <cell r="F441" t="str">
            <v>typ</v>
          </cell>
          <cell r="G441" t="str">
            <v>číslo PZ</v>
          </cell>
          <cell r="H441" t="str">
            <v>Poslední protokol UTZ</v>
          </cell>
        </row>
        <row r="442">
          <cell r="C442" t="str">
            <v>Poběžovice</v>
          </cell>
          <cell r="D442" t="str">
            <v>Domažlice-Planá u M.L.</v>
          </cell>
          <cell r="F442" t="str">
            <v>EMZ + sv. náv.</v>
          </cell>
          <cell r="G442" t="str">
            <v>PZ 12089/96-E.49</v>
          </cell>
          <cell r="H442">
            <v>44428</v>
          </cell>
        </row>
        <row r="443">
          <cell r="C443" t="str">
            <v>Bělá n. Radbuzou</v>
          </cell>
          <cell r="D443" t="str">
            <v>Domažlice-Planá u M.L.</v>
          </cell>
          <cell r="F443" t="str">
            <v>ústř.zámek + sv.náv.</v>
          </cell>
          <cell r="G443" t="str">
            <v>PZ 2628/96-E.49</v>
          </cell>
          <cell r="H443">
            <v>44428</v>
          </cell>
        </row>
        <row r="444">
          <cell r="C444" t="str">
            <v>Bor u Tachova</v>
          </cell>
          <cell r="D444" t="str">
            <v>Domažlice-Planá u M.L.</v>
          </cell>
          <cell r="F444" t="str">
            <v>mech. + sv.náv.</v>
          </cell>
          <cell r="G444" t="str">
            <v>PZ 2641/03-E.49</v>
          </cell>
          <cell r="H444">
            <v>45208</v>
          </cell>
        </row>
        <row r="445">
          <cell r="C445" t="str">
            <v>Tachov</v>
          </cell>
          <cell r="D445" t="str">
            <v>Domažlice-Planá u M.L.</v>
          </cell>
          <cell r="F445" t="str">
            <v>mech. + sv.náv.</v>
          </cell>
          <cell r="G445" t="str">
            <v>PZ 2650/96-E.49</v>
          </cell>
          <cell r="H445">
            <v>45105</v>
          </cell>
        </row>
        <row r="449">
          <cell r="C449" t="str">
            <v>Umístění</v>
          </cell>
          <cell r="D449" t="str">
            <v>Trať</v>
          </cell>
          <cell r="E449" t="str">
            <v>km</v>
          </cell>
          <cell r="F449" t="str">
            <v>typ</v>
          </cell>
          <cell r="G449" t="str">
            <v>číslo PZ</v>
          </cell>
          <cell r="H449" t="str">
            <v>Poslední protokol UTZ</v>
          </cell>
        </row>
        <row r="450">
          <cell r="C450" t="str">
            <v>Horažďovice předměstí</v>
          </cell>
          <cell r="D450" t="str">
            <v>Plzeň-Horažďovice př.</v>
          </cell>
          <cell r="F450" t="str">
            <v>ESA11</v>
          </cell>
          <cell r="G450" t="str">
            <v>PZ 0705/19-E.49</v>
          </cell>
          <cell r="H450">
            <v>44167</v>
          </cell>
        </row>
        <row r="451">
          <cell r="C451" t="str">
            <v>Pačejov</v>
          </cell>
          <cell r="D451" t="str">
            <v>Plzeň-Horažďovice př.</v>
          </cell>
          <cell r="F451" t="str">
            <v>ESA11</v>
          </cell>
          <cell r="G451" t="str">
            <v>PZ 0788/21-E.49</v>
          </cell>
          <cell r="H451">
            <v>43963</v>
          </cell>
        </row>
        <row r="452">
          <cell r="C452" t="str">
            <v>Nepomuk</v>
          </cell>
          <cell r="D452" t="str">
            <v>Plzeň-Horažďovice př.</v>
          </cell>
          <cell r="F452" t="str">
            <v>ŘP + St1 + St2</v>
          </cell>
          <cell r="G452" t="str">
            <v>PZ 4861/96-E.49</v>
          </cell>
          <cell r="H452">
            <v>44977</v>
          </cell>
        </row>
        <row r="453">
          <cell r="C453" t="str">
            <v>Ždírec</v>
          </cell>
          <cell r="D453" t="str">
            <v>Plzeň-Horažďovice př.</v>
          </cell>
          <cell r="F453" t="str">
            <v>RZZ s JOP</v>
          </cell>
          <cell r="G453" t="str">
            <v>PZ 0909/20-E.49</v>
          </cell>
          <cell r="H453">
            <v>43864</v>
          </cell>
        </row>
        <row r="454">
          <cell r="C454" t="str">
            <v>Blovice</v>
          </cell>
          <cell r="D454" t="str">
            <v>Plzeň-Horažďovice př.</v>
          </cell>
          <cell r="F454" t="str">
            <v>TEST</v>
          </cell>
          <cell r="G454" t="str">
            <v>PZ 1341/95-E.49</v>
          </cell>
          <cell r="H454">
            <v>44075</v>
          </cell>
        </row>
        <row r="455">
          <cell r="C455" t="str">
            <v>Nezvěstice</v>
          </cell>
          <cell r="D455" t="str">
            <v>Plzeň-Horažďovice př.</v>
          </cell>
          <cell r="F455" t="str">
            <v>ESA11</v>
          </cell>
          <cell r="G455" t="str">
            <v>PZ 1739/20-E.49</v>
          </cell>
          <cell r="H455">
            <v>44084</v>
          </cell>
        </row>
        <row r="456">
          <cell r="C456" t="str">
            <v>Starý Plzenec</v>
          </cell>
          <cell r="D456" t="str">
            <v>Plzeň-Horažďovice př.</v>
          </cell>
          <cell r="F456" t="str">
            <v>TEST B</v>
          </cell>
          <cell r="G456" t="str">
            <v>PZ 0062/95-E.49</v>
          </cell>
          <cell r="H456">
            <v>44035</v>
          </cell>
        </row>
        <row r="457">
          <cell r="C457" t="str">
            <v>Plzeň Koterov</v>
          </cell>
          <cell r="D457" t="str">
            <v>Plzeň-Horažďovice př.</v>
          </cell>
          <cell r="F457" t="str">
            <v>ESA 11</v>
          </cell>
          <cell r="G457" t="str">
            <v>PZ 0751/22-E.49</v>
          </cell>
          <cell r="H457">
            <v>44665</v>
          </cell>
        </row>
        <row r="461">
          <cell r="C461" t="str">
            <v>Umístění</v>
          </cell>
          <cell r="D461" t="str">
            <v>Trať</v>
          </cell>
          <cell r="E461" t="str">
            <v>km</v>
          </cell>
          <cell r="F461" t="str">
            <v>typ</v>
          </cell>
          <cell r="G461" t="str">
            <v>číslo PZ</v>
          </cell>
          <cell r="H461" t="str">
            <v>Poslední protokol UTZ</v>
          </cell>
        </row>
        <row r="462">
          <cell r="C462" t="str">
            <v>Plzeň-ÚS Triangl</v>
          </cell>
          <cell r="F462" t="str">
            <v>ESA11</v>
          </cell>
          <cell r="G462" t="str">
            <v>PZ 1716/20-E.49</v>
          </cell>
          <cell r="H462">
            <v>44531</v>
          </cell>
        </row>
        <row r="463">
          <cell r="C463" t="str">
            <v>Plzeň-ústř.stavědlo-PPV</v>
          </cell>
          <cell r="F463" t="str">
            <v>ESA11</v>
          </cell>
          <cell r="G463" t="str">
            <v>PZ 1714/20-E.49</v>
          </cell>
          <cell r="H463">
            <v>44028</v>
          </cell>
        </row>
        <row r="464">
          <cell r="C464" t="str">
            <v>Plzeň-seř. n. ST.1 a St.14</v>
          </cell>
          <cell r="F464" t="str">
            <v>vzor 5007</v>
          </cell>
          <cell r="G464" t="str">
            <v>PZ 4316/97-E.49</v>
          </cell>
          <cell r="H464">
            <v>44246</v>
          </cell>
        </row>
        <row r="470">
          <cell r="C470" t="str">
            <v>Umístění</v>
          </cell>
          <cell r="D470" t="str">
            <v>Trať</v>
          </cell>
          <cell r="E470" t="str">
            <v>km</v>
          </cell>
          <cell r="F470" t="str">
            <v>typ</v>
          </cell>
          <cell r="G470" t="str">
            <v>číslo PZ</v>
          </cell>
          <cell r="H470" t="str">
            <v>Poslední protokol UTZ</v>
          </cell>
        </row>
        <row r="471">
          <cell r="B471" t="str">
            <v>1.</v>
          </cell>
          <cell r="C471" t="str">
            <v>Příkosice - Nezvěstice</v>
          </cell>
          <cell r="D471" t="str">
            <v>Rokycany-Nezvěstice</v>
          </cell>
          <cell r="F471" t="str">
            <v>AHP-03D</v>
          </cell>
          <cell r="G471" t="str">
            <v>PZ 1999/16-E.49</v>
          </cell>
          <cell r="H471">
            <v>44488</v>
          </cell>
        </row>
        <row r="474">
          <cell r="B474" t="str">
            <v>OŘ PLZEŇ - TZZ SSZT PL</v>
          </cell>
        </row>
        <row r="475">
          <cell r="B475" t="str">
            <v>Poř. Číslo</v>
          </cell>
          <cell r="C475" t="str">
            <v>Umístění</v>
          </cell>
          <cell r="D475" t="str">
            <v>Trať</v>
          </cell>
          <cell r="E475" t="str">
            <v>km</v>
          </cell>
          <cell r="F475" t="str">
            <v>typ</v>
          </cell>
          <cell r="G475" t="str">
            <v>číslo PZ</v>
          </cell>
          <cell r="H475" t="str">
            <v>Poslední protokol UTZ</v>
          </cell>
        </row>
        <row r="476">
          <cell r="B476" t="str">
            <v>1.</v>
          </cell>
          <cell r="C476" t="str">
            <v>Plzeň Jižní př. - vlečka Škoda</v>
          </cell>
          <cell r="D476" t="str">
            <v>Plzeň-Česká Kubice</v>
          </cell>
          <cell r="F476" t="str">
            <v>AHP-03</v>
          </cell>
          <cell r="G476" t="str">
            <v>PZ 2702/15-E.49</v>
          </cell>
          <cell r="H476">
            <v>44313</v>
          </cell>
        </row>
        <row r="477">
          <cell r="B477" t="str">
            <v>2.</v>
          </cell>
          <cell r="C477" t="str">
            <v>Plzeň - Vejprnice</v>
          </cell>
          <cell r="D477" t="str">
            <v>Plzeň-Česká Kubice</v>
          </cell>
          <cell r="F477" t="str">
            <v>AB3-88A</v>
          </cell>
          <cell r="G477" t="str">
            <v>PZ 0718/21-E.49</v>
          </cell>
          <cell r="H477">
            <v>44377</v>
          </cell>
        </row>
        <row r="478">
          <cell r="B478" t="str">
            <v>3.</v>
          </cell>
          <cell r="C478" t="str">
            <v>Vejprnice - Nýřany</v>
          </cell>
          <cell r="D478" t="str">
            <v>Plzeň-Česká Kubice</v>
          </cell>
          <cell r="F478" t="str">
            <v>UAB-AB3-74</v>
          </cell>
          <cell r="G478" t="str">
            <v>PZ 10177/96-E.49</v>
          </cell>
          <cell r="H478">
            <v>43938</v>
          </cell>
        </row>
        <row r="479">
          <cell r="B479" t="str">
            <v>4.</v>
          </cell>
          <cell r="C479" t="str">
            <v>Nýřany - Chotěšov</v>
          </cell>
          <cell r="D479" t="str">
            <v>Plzeň-Česká Kubice</v>
          </cell>
          <cell r="F479" t="str">
            <v>UAB-AB3-74</v>
          </cell>
          <cell r="G479" t="str">
            <v>PZ 10177/96-E.49</v>
          </cell>
          <cell r="H479">
            <v>43938</v>
          </cell>
        </row>
        <row r="480">
          <cell r="B480" t="str">
            <v>5.</v>
          </cell>
          <cell r="C480" t="str">
            <v>Chotěšov - Stod</v>
          </cell>
          <cell r="D480" t="str">
            <v>Plzeň-Česká Kubice</v>
          </cell>
          <cell r="F480" t="str">
            <v>UAB-AB3-74</v>
          </cell>
          <cell r="G480" t="str">
            <v>PZ 10179/96-E.49</v>
          </cell>
          <cell r="H480">
            <v>44396</v>
          </cell>
        </row>
        <row r="481">
          <cell r="B481" t="str">
            <v>6.</v>
          </cell>
          <cell r="C481" t="str">
            <v>Stod - Holýšov</v>
          </cell>
          <cell r="D481" t="str">
            <v>Plzeň-Česká Kubice</v>
          </cell>
          <cell r="F481" t="str">
            <v>RPB</v>
          </cell>
          <cell r="G481" t="str">
            <v>PZ 12095/96-E.49</v>
          </cell>
          <cell r="H481">
            <v>44361</v>
          </cell>
        </row>
        <row r="482">
          <cell r="B482" t="str">
            <v>7.</v>
          </cell>
          <cell r="C482" t="str">
            <v>Holýšov - Staňkov</v>
          </cell>
          <cell r="D482" t="str">
            <v>Plzeň-Česká Kubice</v>
          </cell>
          <cell r="F482" t="str">
            <v>RPB</v>
          </cell>
          <cell r="G482" t="str">
            <v>PZ 12094/96-E.49</v>
          </cell>
          <cell r="H482">
            <v>44361</v>
          </cell>
        </row>
        <row r="483">
          <cell r="B483" t="str">
            <v>8.</v>
          </cell>
          <cell r="C483" t="str">
            <v>Staňkov - Blížejov</v>
          </cell>
          <cell r="D483" t="str">
            <v>Plzeň-Česká Kubice</v>
          </cell>
          <cell r="F483" t="str">
            <v>AH 88</v>
          </cell>
          <cell r="G483" t="str">
            <v>PZ 0566/06-E.49</v>
          </cell>
          <cell r="H483">
            <v>44231</v>
          </cell>
        </row>
        <row r="484">
          <cell r="B484" t="str">
            <v>9.</v>
          </cell>
          <cell r="C484" t="str">
            <v>Blížejov - Radonice</v>
          </cell>
          <cell r="D484" t="str">
            <v>Plzeň-Česká Kubice</v>
          </cell>
          <cell r="F484" t="str">
            <v>AH-88A</v>
          </cell>
          <cell r="G484" t="str">
            <v>PZ 10290/96-E.49</v>
          </cell>
          <cell r="H484">
            <v>44340</v>
          </cell>
        </row>
        <row r="485">
          <cell r="B485" t="str">
            <v>10.</v>
          </cell>
          <cell r="C485" t="str">
            <v>Radonice - Domažlice</v>
          </cell>
          <cell r="D485" t="str">
            <v>Plzeň-Česká Kubice</v>
          </cell>
          <cell r="F485" t="str">
            <v>AH-88A</v>
          </cell>
          <cell r="G485" t="str">
            <v>PZ 2043/16-E.49</v>
          </cell>
          <cell r="H485">
            <v>44510</v>
          </cell>
        </row>
        <row r="486">
          <cell r="B486" t="str">
            <v>11.</v>
          </cell>
          <cell r="C486" t="str">
            <v>Domažlice - Česká Kubice</v>
          </cell>
          <cell r="D486" t="str">
            <v>Plzeň-Česká Kubice</v>
          </cell>
          <cell r="F486" t="str">
            <v>AH-88a</v>
          </cell>
          <cell r="G486" t="str">
            <v>PZ 1107/05-E.49</v>
          </cell>
          <cell r="H486">
            <v>43840</v>
          </cell>
        </row>
        <row r="489">
          <cell r="B489" t="str">
            <v>OŘ PLZEŇ - TZZ SSZT PL</v>
          </cell>
        </row>
        <row r="490">
          <cell r="B490" t="str">
            <v>Poř. Číslo</v>
          </cell>
          <cell r="C490" t="str">
            <v>Umístění</v>
          </cell>
          <cell r="D490" t="str">
            <v>Trať</v>
          </cell>
          <cell r="E490" t="str">
            <v>km</v>
          </cell>
          <cell r="F490" t="str">
            <v>typ</v>
          </cell>
          <cell r="G490" t="str">
            <v>číslo PZ</v>
          </cell>
          <cell r="H490" t="str">
            <v>Poslední protokol UTZ</v>
          </cell>
        </row>
        <row r="491">
          <cell r="B491" t="str">
            <v>1.</v>
          </cell>
          <cell r="C491" t="str">
            <v>Plzeň hl.n. - Plzeň Valcha</v>
          </cell>
          <cell r="D491" t="str">
            <v>Plzeň-Železná Ruda</v>
          </cell>
          <cell r="F491" t="str">
            <v>AHP 03</v>
          </cell>
          <cell r="G491" t="str">
            <v>PZ 1786/09-E.49</v>
          </cell>
          <cell r="H491">
            <v>43739</v>
          </cell>
        </row>
        <row r="492">
          <cell r="B492" t="str">
            <v>2.</v>
          </cell>
          <cell r="C492" t="str">
            <v>Přeštice - Švihov</v>
          </cell>
          <cell r="D492" t="str">
            <v>Plzeň-Železná Ruda</v>
          </cell>
          <cell r="F492" t="str">
            <v>AH88A</v>
          </cell>
          <cell r="G492" t="str">
            <v>PZ 2648/96-E.44</v>
          </cell>
          <cell r="H492">
            <v>44364</v>
          </cell>
        </row>
        <row r="493">
          <cell r="B493" t="str">
            <v>3.</v>
          </cell>
          <cell r="C493" t="str">
            <v>Švihov - Klatovy</v>
          </cell>
          <cell r="D493" t="str">
            <v>Plzeň-Železná Ruda</v>
          </cell>
          <cell r="F493" t="str">
            <v>AH88</v>
          </cell>
          <cell r="G493" t="str">
            <v>PZ 4819/97-E.49</v>
          </cell>
          <cell r="H493">
            <v>44599</v>
          </cell>
        </row>
        <row r="494">
          <cell r="B494" t="str">
            <v>4.</v>
          </cell>
          <cell r="C494" t="str">
            <v>Janovice - Klatovy</v>
          </cell>
          <cell r="D494" t="str">
            <v>Plzeň-Železná Ruda</v>
          </cell>
          <cell r="F494" t="str">
            <v>AHP-03D</v>
          </cell>
          <cell r="G494" t="str">
            <v>PZ 2737/15-E.49</v>
          </cell>
          <cell r="H494">
            <v>44123</v>
          </cell>
        </row>
        <row r="497">
          <cell r="B497" t="str">
            <v>OŘ PLZEŇ - TZZ SSZT PL</v>
          </cell>
        </row>
        <row r="498">
          <cell r="B498" t="str">
            <v>Poř. Číslo</v>
          </cell>
          <cell r="C498" t="str">
            <v>Umístění</v>
          </cell>
          <cell r="D498" t="str">
            <v>Trať</v>
          </cell>
          <cell r="E498" t="str">
            <v>km</v>
          </cell>
          <cell r="F498" t="str">
            <v>typ</v>
          </cell>
          <cell r="G498" t="str">
            <v>číslo PZ</v>
          </cell>
          <cell r="H498" t="str">
            <v>Poslední protokol UTZ</v>
          </cell>
        </row>
        <row r="499">
          <cell r="B499" t="str">
            <v>1.</v>
          </cell>
          <cell r="C499" t="str">
            <v>Plzeň seř.n. - Třemošná</v>
          </cell>
          <cell r="D499" t="str">
            <v>Plzeň-Žatec</v>
          </cell>
          <cell r="F499" t="str">
            <v>AHP-03</v>
          </cell>
          <cell r="G499" t="str">
            <v>PZ 0403/15-E.49</v>
          </cell>
          <cell r="H499">
            <v>43844</v>
          </cell>
        </row>
        <row r="500">
          <cell r="B500" t="str">
            <v>2.</v>
          </cell>
          <cell r="C500" t="str">
            <v>Plasy - Mladotice</v>
          </cell>
          <cell r="D500" t="str">
            <v>Plzeň-Žatec</v>
          </cell>
          <cell r="F500" t="str">
            <v>AHP-03</v>
          </cell>
          <cell r="G500" t="str">
            <v>PZ 0510/06-E.49</v>
          </cell>
          <cell r="H500">
            <v>44216</v>
          </cell>
        </row>
        <row r="503">
          <cell r="B503" t="str">
            <v>OŘ PLZEŇ - TZZ SSZT PL</v>
          </cell>
        </row>
        <row r="504">
          <cell r="B504" t="str">
            <v>Poř. Číslo</v>
          </cell>
          <cell r="C504" t="str">
            <v>Umístění</v>
          </cell>
          <cell r="D504" t="str">
            <v>Trať</v>
          </cell>
          <cell r="E504" t="str">
            <v>km</v>
          </cell>
          <cell r="F504" t="str">
            <v>typ</v>
          </cell>
          <cell r="G504" t="str">
            <v>číslo PZ</v>
          </cell>
          <cell r="H504" t="str">
            <v>Poslední protokol UTZ</v>
          </cell>
        </row>
        <row r="505">
          <cell r="B505" t="str">
            <v>1.</v>
          </cell>
          <cell r="C505" t="str">
            <v>Plzeň hl.n. - Ejpovice</v>
          </cell>
          <cell r="D505" t="str">
            <v>Praha-Plzeň</v>
          </cell>
          <cell r="F505" t="str">
            <v>ABE-1</v>
          </cell>
          <cell r="G505" t="str">
            <v>PZ 0708/20-E.49</v>
          </cell>
          <cell r="H505">
            <v>45218</v>
          </cell>
        </row>
        <row r="506">
          <cell r="B506" t="str">
            <v>2.</v>
          </cell>
          <cell r="C506" t="str">
            <v>Rokycany - Ejpovice</v>
          </cell>
          <cell r="D506" t="str">
            <v>Praha-Plzeň</v>
          </cell>
          <cell r="F506" t="str">
            <v>ABE-1</v>
          </cell>
          <cell r="G506" t="str">
            <v>PZ 0709/20-E.49</v>
          </cell>
          <cell r="H506">
            <v>43810</v>
          </cell>
        </row>
        <row r="507">
          <cell r="B507" t="str">
            <v>3.</v>
          </cell>
          <cell r="C507" t="str">
            <v>Rokycany - Holoubkov</v>
          </cell>
          <cell r="D507" t="str">
            <v>Praha-Plzeň</v>
          </cell>
          <cell r="F507" t="str">
            <v>ABE-1</v>
          </cell>
          <cell r="G507" t="str">
            <v>PZ 0711/13-E.49</v>
          </cell>
          <cell r="H507">
            <v>44399</v>
          </cell>
        </row>
        <row r="508">
          <cell r="B508" t="str">
            <v>4.</v>
          </cell>
          <cell r="C508" t="str">
            <v>Holoubkov - Kařízek</v>
          </cell>
          <cell r="D508" t="str">
            <v>Praha-Plzeň</v>
          </cell>
          <cell r="F508" t="str">
            <v>ABE-1</v>
          </cell>
          <cell r="G508" t="str">
            <v>PZ 0710/13-E.49</v>
          </cell>
          <cell r="H508">
            <v>44399</v>
          </cell>
        </row>
        <row r="509">
          <cell r="B509" t="str">
            <v>5.</v>
          </cell>
          <cell r="C509" t="str">
            <v>Kařízek - Zbiroh</v>
          </cell>
          <cell r="D509" t="str">
            <v>Praha-Plzeň</v>
          </cell>
          <cell r="F509" t="str">
            <v>ABE-1</v>
          </cell>
          <cell r="G509" t="str">
            <v>PZ 0709/13-E.49</v>
          </cell>
          <cell r="H509">
            <v>44701</v>
          </cell>
        </row>
        <row r="510">
          <cell r="B510" t="str">
            <v>6.</v>
          </cell>
          <cell r="C510" t="str">
            <v>Hořovice - Zbiroh</v>
          </cell>
          <cell r="D510" t="str">
            <v>Praha-Plzeň</v>
          </cell>
          <cell r="F510" t="str">
            <v>ABE-1</v>
          </cell>
          <cell r="G510" t="str">
            <v>PZ 1774/12-E.49</v>
          </cell>
          <cell r="H510">
            <v>44498</v>
          </cell>
        </row>
        <row r="513">
          <cell r="B513" t="str">
            <v>OŘ PLZEŇ - TZZ SSZT PL</v>
          </cell>
        </row>
        <row r="514">
          <cell r="B514" t="str">
            <v>Poř. Číslo</v>
          </cell>
          <cell r="C514" t="str">
            <v>Umístění</v>
          </cell>
          <cell r="D514" t="str">
            <v>Trať</v>
          </cell>
          <cell r="E514" t="str">
            <v>km</v>
          </cell>
          <cell r="F514" t="str">
            <v>typ</v>
          </cell>
          <cell r="G514" t="str">
            <v>číslo PZ</v>
          </cell>
          <cell r="H514" t="str">
            <v>Poslední protokol UTZ</v>
          </cell>
        </row>
        <row r="515">
          <cell r="B515" t="str">
            <v>1.</v>
          </cell>
          <cell r="C515" t="str">
            <v>Plzeň Jižní předm. - Křimice</v>
          </cell>
          <cell r="D515" t="str">
            <v>Plzeň-Cheb</v>
          </cell>
          <cell r="F515" t="str">
            <v>ABE-1</v>
          </cell>
          <cell r="G515" t="str">
            <v>PZ 3021/06-E.49</v>
          </cell>
          <cell r="H515">
            <v>44508</v>
          </cell>
        </row>
        <row r="516">
          <cell r="B516" t="str">
            <v>2.</v>
          </cell>
          <cell r="C516" t="str">
            <v>Křimice - Kozolupy</v>
          </cell>
          <cell r="D516" t="str">
            <v>Plzeň-Cheb</v>
          </cell>
          <cell r="F516" t="str">
            <v>ABE-1</v>
          </cell>
          <cell r="G516" t="str">
            <v>PZ 1474/07-E.49</v>
          </cell>
          <cell r="H516">
            <v>44755</v>
          </cell>
        </row>
        <row r="517">
          <cell r="B517" t="str">
            <v>3.</v>
          </cell>
          <cell r="C517" t="str">
            <v>Kozolupy - Pňovany</v>
          </cell>
          <cell r="D517" t="str">
            <v>Plzeň-Cheb</v>
          </cell>
          <cell r="F517" t="str">
            <v>ABE-1</v>
          </cell>
          <cell r="G517" t="str">
            <v>PZ 0362/08-E.49</v>
          </cell>
          <cell r="H517">
            <v>44977</v>
          </cell>
        </row>
        <row r="518">
          <cell r="B518" t="str">
            <v>4.</v>
          </cell>
          <cell r="C518" t="str">
            <v>Pňovany - Vranov u Stříbra</v>
          </cell>
          <cell r="D518" t="str">
            <v>Plzeň-Cheb</v>
          </cell>
          <cell r="F518" t="str">
            <v>ABE-1</v>
          </cell>
          <cell r="G518" t="str">
            <v>PZ 0360/08-E.49</v>
          </cell>
          <cell r="H518">
            <v>44979</v>
          </cell>
        </row>
        <row r="519">
          <cell r="B519" t="str">
            <v>5.</v>
          </cell>
          <cell r="C519" t="str">
            <v>Vranov u Stříbra - Stříbro</v>
          </cell>
          <cell r="D519" t="str">
            <v>Plzeň-Cheb</v>
          </cell>
          <cell r="F519" t="str">
            <v>ABE-1</v>
          </cell>
          <cell r="G519" t="str">
            <v>PZ 0361/08-E.49</v>
          </cell>
          <cell r="H519">
            <v>44979</v>
          </cell>
        </row>
        <row r="520">
          <cell r="B520" t="str">
            <v>6.</v>
          </cell>
          <cell r="C520" t="str">
            <v>Stříbro - Milíkov</v>
          </cell>
          <cell r="D520" t="str">
            <v>Plzeň-Cheb</v>
          </cell>
          <cell r="F520" t="str">
            <v>ABE-1</v>
          </cell>
          <cell r="G520" t="str">
            <v>PZ 0197/10-E.44</v>
          </cell>
          <cell r="H520">
            <v>43937</v>
          </cell>
        </row>
        <row r="521">
          <cell r="B521" t="str">
            <v>7.</v>
          </cell>
          <cell r="C521" t="str">
            <v>Milíkov - Svojšín</v>
          </cell>
          <cell r="D521" t="str">
            <v>Plzeň-Cheb</v>
          </cell>
          <cell r="F521" t="str">
            <v>ABE-1</v>
          </cell>
          <cell r="G521" t="str">
            <v>PZ 725/12-E.49</v>
          </cell>
          <cell r="H521">
            <v>43626</v>
          </cell>
        </row>
        <row r="522">
          <cell r="B522" t="str">
            <v>8.</v>
          </cell>
          <cell r="C522" t="str">
            <v>Svojšín - Ošelín</v>
          </cell>
          <cell r="D522" t="str">
            <v>Plzeň-Cheb</v>
          </cell>
          <cell r="F522" t="str">
            <v>ABE-1</v>
          </cell>
          <cell r="G522" t="str">
            <v>PZ 719/12-E.49</v>
          </cell>
          <cell r="H522">
            <v>44257</v>
          </cell>
        </row>
        <row r="523">
          <cell r="B523" t="str">
            <v>9.</v>
          </cell>
          <cell r="C523" t="str">
            <v>Ošelín - Pavlovice</v>
          </cell>
          <cell r="D523" t="str">
            <v>Plzeň-Cheb</v>
          </cell>
          <cell r="F523" t="str">
            <v>ABE-1</v>
          </cell>
          <cell r="G523" t="str">
            <v>PZ 724/12-E.49</v>
          </cell>
          <cell r="H523">
            <v>44258</v>
          </cell>
        </row>
        <row r="524">
          <cell r="B524" t="str">
            <v>10.</v>
          </cell>
          <cell r="C524" t="str">
            <v>Pavlovice - Brod n.Tichou</v>
          </cell>
          <cell r="D524" t="str">
            <v>Plzeň-Cheb</v>
          </cell>
          <cell r="F524" t="str">
            <v>ABE-1</v>
          </cell>
          <cell r="G524" t="str">
            <v>PZ 722/12-E.49</v>
          </cell>
          <cell r="H524">
            <v>44007</v>
          </cell>
        </row>
        <row r="525">
          <cell r="B525" t="str">
            <v>11.</v>
          </cell>
          <cell r="C525" t="str">
            <v>Brod n.Tichou - Planá u M.L.</v>
          </cell>
          <cell r="D525" t="str">
            <v>Plzeň-Cheb</v>
          </cell>
          <cell r="F525" t="str">
            <v>ABE-1</v>
          </cell>
          <cell r="G525" t="str">
            <v>PZ 1716/09-E.49</v>
          </cell>
          <cell r="H525">
            <v>44980</v>
          </cell>
        </row>
        <row r="526">
          <cell r="B526" t="str">
            <v>12.</v>
          </cell>
          <cell r="C526" t="str">
            <v>Planá u M.L. - Chodová Planá</v>
          </cell>
          <cell r="D526" t="str">
            <v>Plzeň-Cheb</v>
          </cell>
          <cell r="F526" t="str">
            <v>ABE-1</v>
          </cell>
          <cell r="G526" t="str">
            <v>PZ 2476/09-E.49</v>
          </cell>
          <cell r="H526">
            <v>43789</v>
          </cell>
        </row>
        <row r="527">
          <cell r="B527" t="str">
            <v>13.</v>
          </cell>
          <cell r="C527" t="str">
            <v>Chodová Planá - Mar. Lázně</v>
          </cell>
          <cell r="D527" t="str">
            <v>Plzeň-Cheb</v>
          </cell>
          <cell r="F527" t="str">
            <v>ABE-1</v>
          </cell>
          <cell r="G527" t="str">
            <v>PZ 2475/09-E.49</v>
          </cell>
          <cell r="H527">
            <v>43790</v>
          </cell>
        </row>
        <row r="530">
          <cell r="B530" t="str">
            <v>OŘ PLZEŇ - TZZ SSZT PL</v>
          </cell>
        </row>
        <row r="531">
          <cell r="B531" t="str">
            <v>Poř. Číslo</v>
          </cell>
          <cell r="C531" t="str">
            <v>Umístění</v>
          </cell>
          <cell r="D531" t="str">
            <v>Trať</v>
          </cell>
          <cell r="E531" t="str">
            <v>km</v>
          </cell>
          <cell r="F531" t="str">
            <v>typ</v>
          </cell>
          <cell r="G531" t="str">
            <v>číslo PZ</v>
          </cell>
          <cell r="H531" t="str">
            <v>Poslední protokol UTZ</v>
          </cell>
        </row>
        <row r="532">
          <cell r="B532" t="str">
            <v>1.</v>
          </cell>
          <cell r="C532" t="str">
            <v>Svojšín - Bor</v>
          </cell>
          <cell r="D532" t="str">
            <v>Svojšín-Bor</v>
          </cell>
          <cell r="F532" t="str">
            <v>AHP-03</v>
          </cell>
          <cell r="G532" t="str">
            <v>PZ 1364/10-E.49</v>
          </cell>
          <cell r="H532">
            <v>43626</v>
          </cell>
        </row>
        <row r="535">
          <cell r="B535" t="str">
            <v>OŘ PLZEŇ - TZZ SSZT PL</v>
          </cell>
        </row>
        <row r="536">
          <cell r="B536" t="str">
            <v>Poř. Číslo</v>
          </cell>
          <cell r="C536" t="str">
            <v>Umístění</v>
          </cell>
          <cell r="D536" t="str">
            <v>Trať</v>
          </cell>
          <cell r="E536" t="str">
            <v>km</v>
          </cell>
          <cell r="F536" t="str">
            <v>typ</v>
          </cell>
          <cell r="G536" t="str">
            <v>číslo PZ</v>
          </cell>
          <cell r="H536" t="str">
            <v>Poslední protokol UTZ</v>
          </cell>
        </row>
        <row r="537">
          <cell r="B537" t="str">
            <v>1.</v>
          </cell>
          <cell r="C537" t="str">
            <v>Tachov - Planá</v>
          </cell>
          <cell r="D537" t="str">
            <v>Planá u M.L.-Tachov</v>
          </cell>
          <cell r="F537" t="str">
            <v>AHP-03</v>
          </cell>
          <cell r="G537" t="str">
            <v>PZ 1750/09-E.49</v>
          </cell>
          <cell r="H537">
            <v>43626</v>
          </cell>
        </row>
        <row r="540">
          <cell r="B540" t="str">
            <v>OŘ PLZEŇ - TZZ SSZT PL</v>
          </cell>
        </row>
        <row r="541">
          <cell r="B541" t="str">
            <v>Poř. Číslo</v>
          </cell>
          <cell r="C541" t="str">
            <v>Umístění</v>
          </cell>
          <cell r="D541" t="str">
            <v>Trať</v>
          </cell>
          <cell r="E541" t="str">
            <v>km</v>
          </cell>
          <cell r="F541" t="str">
            <v>typ</v>
          </cell>
          <cell r="G541" t="str">
            <v>číslo PZ</v>
          </cell>
          <cell r="H541" t="str">
            <v>Poslední protokol UTZ</v>
          </cell>
        </row>
        <row r="542">
          <cell r="B542" t="str">
            <v>1.</v>
          </cell>
          <cell r="C542" t="str">
            <v>Horažďovice př.- Hor. Město</v>
          </cell>
          <cell r="D542" t="str">
            <v>Horažďovice př.-Klatovy</v>
          </cell>
          <cell r="F542" t="str">
            <v>AHP-03</v>
          </cell>
          <cell r="G542" t="str">
            <v>PZ 3208/15-E.49</v>
          </cell>
          <cell r="H542">
            <v>43850</v>
          </cell>
        </row>
        <row r="543">
          <cell r="B543" t="str">
            <v>2.</v>
          </cell>
          <cell r="C543" t="str">
            <v>Plzeň Již.-Křimice</v>
          </cell>
          <cell r="D543" t="str">
            <v>Horažďovice př.-Klatovy</v>
          </cell>
          <cell r="F543" t="str">
            <v>AHP-03D</v>
          </cell>
          <cell r="G543" t="str">
            <v>PZ 2068/13-E.49</v>
          </cell>
          <cell r="H543">
            <v>45208</v>
          </cell>
        </row>
        <row r="544">
          <cell r="B544" t="str">
            <v>3.</v>
          </cell>
          <cell r="C544" t="str">
            <v>Velké Hydčice - Žichovice</v>
          </cell>
          <cell r="D544" t="str">
            <v>Horažďovice př.-Klatovy</v>
          </cell>
          <cell r="F544" t="str">
            <v>RPB</v>
          </cell>
          <cell r="G544" t="str">
            <v>PZ 0914/23-E.49</v>
          </cell>
          <cell r="H544">
            <v>44994</v>
          </cell>
        </row>
        <row r="545">
          <cell r="B545" t="str">
            <v>4.</v>
          </cell>
          <cell r="C545" t="str">
            <v>Žichovice - Sušice</v>
          </cell>
          <cell r="D545" t="str">
            <v>Horažďovice př.-Klatovy</v>
          </cell>
          <cell r="F545" t="str">
            <v>RPB</v>
          </cell>
          <cell r="G545" t="str">
            <v>PZ 10175/96-E.49</v>
          </cell>
          <cell r="H545">
            <v>44298</v>
          </cell>
        </row>
        <row r="546">
          <cell r="B546" t="str">
            <v>5.</v>
          </cell>
          <cell r="C546" t="str">
            <v>Kolinec - Nemilkov</v>
          </cell>
          <cell r="D546" t="str">
            <v>Horažďovice př.-Klatovy</v>
          </cell>
          <cell r="F546" t="str">
            <v>AH-88A</v>
          </cell>
          <cell r="G546" t="str">
            <v>PZ 0911/16-E.49</v>
          </cell>
          <cell r="H546">
            <v>44216</v>
          </cell>
        </row>
        <row r="547">
          <cell r="B547" t="str">
            <v>6.</v>
          </cell>
          <cell r="C547" t="str">
            <v>Klatovy - Běšiny</v>
          </cell>
          <cell r="D547" t="str">
            <v>Horažďovice př.-Klatovy</v>
          </cell>
          <cell r="F547" t="str">
            <v>AH03D</v>
          </cell>
          <cell r="G547" t="str">
            <v>PZ 1398/16-E.49</v>
          </cell>
          <cell r="H547">
            <v>44494</v>
          </cell>
        </row>
        <row r="550">
          <cell r="B550" t="str">
            <v>OŘ PLZEŇ - TZZ SSZT PL</v>
          </cell>
        </row>
        <row r="551">
          <cell r="B551" t="str">
            <v>Poř. Číslo</v>
          </cell>
          <cell r="C551" t="str">
            <v>Umístění</v>
          </cell>
          <cell r="D551" t="str">
            <v>Trať</v>
          </cell>
          <cell r="E551" t="str">
            <v>km</v>
          </cell>
          <cell r="F551" t="str">
            <v>typ</v>
          </cell>
          <cell r="G551" t="str">
            <v>číslo PZ</v>
          </cell>
          <cell r="H551" t="str">
            <v>Poslední protokol UTZ</v>
          </cell>
        </row>
        <row r="552">
          <cell r="B552" t="str">
            <v>1.</v>
          </cell>
          <cell r="C552" t="str">
            <v>Janovice n.Úhl. - Pocínovice</v>
          </cell>
          <cell r="D552" t="str">
            <v>Klatovy-Domažlice</v>
          </cell>
          <cell r="F552" t="str">
            <v>AHP-03D</v>
          </cell>
          <cell r="G552" t="str">
            <v>PZ 2736/15-E.49</v>
          </cell>
          <cell r="H552" t="str">
            <v>zrušeno</v>
          </cell>
        </row>
        <row r="553">
          <cell r="B553" t="str">
            <v>2.</v>
          </cell>
          <cell r="C553" t="str">
            <v>Pocínovice - Kdyně</v>
          </cell>
          <cell r="D553" t="str">
            <v>Klatovy-Domažlice</v>
          </cell>
          <cell r="F553" t="str">
            <v>AHP-03D</v>
          </cell>
          <cell r="G553" t="str">
            <v>PZ 1427/20-E.49</v>
          </cell>
          <cell r="H553">
            <v>44160</v>
          </cell>
        </row>
        <row r="554">
          <cell r="B554" t="str">
            <v>3.</v>
          </cell>
          <cell r="C554" t="str">
            <v>Kdyně - Domažlice</v>
          </cell>
          <cell r="D554" t="str">
            <v>Klatovy-Domažlice</v>
          </cell>
          <cell r="F554" t="str">
            <v>AHP-03D</v>
          </cell>
          <cell r="G554" t="str">
            <v>PZ 1428/20-E.49</v>
          </cell>
          <cell r="H554">
            <v>44160</v>
          </cell>
        </row>
        <row r="557">
          <cell r="B557" t="str">
            <v>OŘ PLZEŇ - TZZ SSZT PL</v>
          </cell>
        </row>
        <row r="558">
          <cell r="B558" t="str">
            <v>Poř. Číslo</v>
          </cell>
          <cell r="C558" t="str">
            <v>Umístění</v>
          </cell>
          <cell r="D558" t="str">
            <v>Trať</v>
          </cell>
          <cell r="E558" t="str">
            <v>km</v>
          </cell>
          <cell r="F558" t="str">
            <v>typ</v>
          </cell>
          <cell r="G558" t="str">
            <v>číslo PZ</v>
          </cell>
          <cell r="H558" t="str">
            <v>Poslední protokol UTZ</v>
          </cell>
        </row>
        <row r="559">
          <cell r="B559" t="str">
            <v>1.</v>
          </cell>
          <cell r="C559" t="str">
            <v>Nepomuk - Ždírec</v>
          </cell>
          <cell r="D559" t="str">
            <v>Plzeň-Horažďovice př.</v>
          </cell>
          <cell r="F559" t="str">
            <v>AH-P</v>
          </cell>
          <cell r="G559" t="str">
            <v>PZ 1181/07-E.49</v>
          </cell>
          <cell r="H559">
            <v>44663</v>
          </cell>
        </row>
        <row r="560">
          <cell r="B560" t="str">
            <v>2.</v>
          </cell>
          <cell r="C560" t="str">
            <v>Ždírec - Blovice</v>
          </cell>
          <cell r="D560" t="str">
            <v>Plzeň-Horažďovice př.</v>
          </cell>
          <cell r="F560" t="str">
            <v>AHP-03D</v>
          </cell>
          <cell r="G560" t="str">
            <v>PZ 0910/20-E.49</v>
          </cell>
          <cell r="H560">
            <v>43864</v>
          </cell>
        </row>
        <row r="561">
          <cell r="B561" t="str">
            <v>3.</v>
          </cell>
          <cell r="C561" t="str">
            <v>Blovice - Nezvěstice</v>
          </cell>
          <cell r="D561" t="str">
            <v>Plzeň-Horažďovice př.</v>
          </cell>
          <cell r="F561" t="str">
            <v>AH88A</v>
          </cell>
          <cell r="G561" t="str">
            <v>PZ 0948/09-E.49</v>
          </cell>
          <cell r="H561">
            <v>43558</v>
          </cell>
        </row>
        <row r="562">
          <cell r="B562" t="str">
            <v>4.</v>
          </cell>
          <cell r="C562" t="str">
            <v>Nezvěstice - Starý Plzenec</v>
          </cell>
          <cell r="D562" t="str">
            <v>Plzeň-Horažďovice př.</v>
          </cell>
          <cell r="F562" t="str">
            <v>AH-83</v>
          </cell>
          <cell r="G562" t="str">
            <v>PZ 0538/00-E.48</v>
          </cell>
          <cell r="H562">
            <v>43846</v>
          </cell>
        </row>
        <row r="563">
          <cell r="B563" t="str">
            <v>5.</v>
          </cell>
          <cell r="C563" t="str">
            <v>Koterov - Starý Plzenec</v>
          </cell>
          <cell r="D563" t="str">
            <v>Plzeň-Horažďovice př.</v>
          </cell>
          <cell r="F563" t="str">
            <v>AHP-03D</v>
          </cell>
          <cell r="G563" t="str">
            <v>PZ 1246/14-E.49</v>
          </cell>
          <cell r="H563">
            <v>43788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OR00000PLZNT011\SSZT_PLZ-Intern&#237;\DOKLADY_K_ZA&#344;&#205;ZEN&#205;\Protokoly_k_za&#345;&#237;zen&#237;\710A_Hora&#382;&#271;ovice-Klatovy\PZS%20km%2031,284" TargetMode="External"/><Relationship Id="rId299" Type="http://schemas.openxmlformats.org/officeDocument/2006/relationships/hyperlink" Target="file:///\\OR00000PLZNT011\SSZT_PLZ-Intern&#237;\DOKLADY_K_ZA&#344;&#205;ZEN&#205;\Protokoly_k_za&#345;&#237;zen&#237;\714A_Rokycany-Nezv&#283;stice\P&#345;&#237;kosice-Nezv&#283;stice\PZS%20km%2019,487" TargetMode="External"/><Relationship Id="rId21" Type="http://schemas.openxmlformats.org/officeDocument/2006/relationships/hyperlink" Target="file:///\\OR00000PLZNT011\SSZT_PLZ-Intern&#237;\DOKLADY_K_ZA&#344;&#205;ZEN&#205;\Protokoly_k_za&#345;&#237;zen&#237;\719_Plze&#328;-&#381;atec\PZS%20km%209,848" TargetMode="External"/><Relationship Id="rId63" Type="http://schemas.openxmlformats.org/officeDocument/2006/relationships/hyperlink" Target="file:///\\OR00000PLZNT011\SSZT_PLZ-Intern&#237;\DOKLADY_K_ZA&#344;&#205;ZEN&#205;\Protokoly_k_za&#345;&#237;zen&#237;\711_Plze&#328;-&#381;.Ruda\PZS%20km%201,689" TargetMode="External"/><Relationship Id="rId159" Type="http://schemas.openxmlformats.org/officeDocument/2006/relationships/hyperlink" Target="file:///\\OR00000PLZNT011\SSZT_PLZ-Intern&#237;\DOKLADY_K_ZA&#344;&#205;ZEN&#205;\Protokoly_k_za&#345;&#237;zen&#237;\714A_Rokycany-Nezv&#283;stice\Miro&#353;ov-P&#345;&#237;kosice\PZS_km_11,058_11,377" TargetMode="External"/><Relationship Id="rId324" Type="http://schemas.openxmlformats.org/officeDocument/2006/relationships/hyperlink" Target="file:///\\OR00000PLZNT011\SSZT_PLZ-Intern&#237;\DOKLADY_K_ZA&#344;&#205;ZEN&#205;\Protokoly_k_za&#345;&#237;zen&#237;\713A_Plze&#328;-Zbiroh\TZZ%20Ejpovice-Plze&#328;" TargetMode="External"/><Relationship Id="rId366" Type="http://schemas.openxmlformats.org/officeDocument/2006/relationships/hyperlink" Target="file:///\\OR00000PLZNT011\SSZT_PLZ-Intern&#237;\DOKLADY_K_ZA&#344;&#205;ZEN&#205;\Protokoly_k_za&#345;&#237;zen&#237;\709B_Hora&#382;&#271;ovice_p&#345;.-Plze&#328;\PZS%20km%20327,560" TargetMode="External"/><Relationship Id="rId170" Type="http://schemas.openxmlformats.org/officeDocument/2006/relationships/hyperlink" Target="file:///\\OR00000PLZNT011\SSZT_PLZ-Intern&#237;\DOKLADY_K_ZA&#344;&#205;ZEN&#205;\Protokoly_k_za&#345;&#237;zen&#237;\717A_Doma&#382;lice-Plan&#225;\PZS%20km%2036,756" TargetMode="External"/><Relationship Id="rId226" Type="http://schemas.openxmlformats.org/officeDocument/2006/relationships/hyperlink" Target="file:///\\OR00000PLZNT011\SSZT_PLZ-Intern&#237;\DOKLADY_K_ZA&#344;&#205;ZEN&#205;\Protokoly_k_za&#345;&#237;zen&#237;\720_Plze&#328;-Cheb\&#382;st.%20Pavlovice" TargetMode="External"/><Relationship Id="rId433" Type="http://schemas.openxmlformats.org/officeDocument/2006/relationships/hyperlink" Target="file:///\\OR00000PLZNT011\SSZT_PLZ-Intern&#237;\DOKLADY_K_ZA&#344;&#205;ZEN&#205;\Protokoly_k_za&#345;&#237;zen&#237;\710A_Hora&#382;&#271;ovice-Klatovy\PZS%20km%2043,529" TargetMode="External"/><Relationship Id="rId268" Type="http://schemas.openxmlformats.org/officeDocument/2006/relationships/hyperlink" Target="file:///\\OR00000PLZNT011\SSZT_PLZ-Intern&#237;\DOKLADY_K_ZA&#344;&#205;ZEN&#205;\Protokoly_k_za&#345;&#237;zen&#237;\720_Plze&#328;-Cheb\&#382;st.%20Vranov%20u%20St&#345;&#237;bra" TargetMode="External"/><Relationship Id="rId475" Type="http://schemas.openxmlformats.org/officeDocument/2006/relationships/hyperlink" Target="file:///\\OR00000PLZNT011\SSZT_PLZ-Intern&#237;\DOKLADY_K_ZA&#344;&#205;ZEN&#205;\Protokoly_k_za&#345;&#237;zen&#237;\Uzel_Plze&#328;\Nov&#225;%20Hospoda" TargetMode="External"/><Relationship Id="rId32" Type="http://schemas.openxmlformats.org/officeDocument/2006/relationships/hyperlink" Target="file:///\\OR00000PLZNT011\SSZT_PLZ-Intern&#237;\DOKLADY_K_ZA&#344;&#205;ZEN&#205;\Protokoly_k_za&#345;&#237;zen&#237;\720_Plze&#328;-Cheb\TZZ%20Pavlovice-Brod" TargetMode="External"/><Relationship Id="rId74" Type="http://schemas.openxmlformats.org/officeDocument/2006/relationships/hyperlink" Target="file:///\\OR00000PLZNT011\SSZT_PLZ-Intern&#237;\DOKLADY_K_ZA&#344;&#205;ZEN&#205;\Protokoly_k_za&#345;&#237;zen&#237;\709B_Hora&#382;&#271;ovice_p&#345;.-Plze&#328;\&#382;st.%20Pa&#269;ejov" TargetMode="External"/><Relationship Id="rId128" Type="http://schemas.openxmlformats.org/officeDocument/2006/relationships/hyperlink" Target="file:///\\OR00000PLZNT011\SSZT_PLZ-Intern&#237;\DOKLADY_K_ZA&#344;&#205;ZEN&#205;\Protokoly_k_za&#345;&#237;zen&#237;\712A_Vejprnice-&#268;.Kubice\PZS%20km%20168,871" TargetMode="External"/><Relationship Id="rId335" Type="http://schemas.openxmlformats.org/officeDocument/2006/relationships/hyperlink" Target="file:///\\OR00000PLZNT011\SSZT_PLZ-Intern&#237;\DOKLADY_K_ZA&#344;&#205;ZEN&#205;\Protokoly_k_za&#345;&#237;zen&#237;\710A_Hora&#382;&#271;ovice-Klatovy\&#382;st.%20Hora&#382;&#271;ovice%20m" TargetMode="External"/><Relationship Id="rId377" Type="http://schemas.openxmlformats.org/officeDocument/2006/relationships/hyperlink" Target="file:///\\OR00000PLZNT011\SSZT_PLZ-Intern&#237;\DOKLADY_K_ZA&#344;&#205;ZEN&#205;\Protokoly_k_za&#345;&#237;zen&#237;\711_Plze&#328;-&#381;.Ruda\PZS%20km%2069,305" TargetMode="External"/><Relationship Id="rId5" Type="http://schemas.openxmlformats.org/officeDocument/2006/relationships/hyperlink" Target="file:///\\OR00000PLZNT011\SSZT_PLZ-Intern&#237;\DOKLADY_K_ZA&#344;&#205;ZEN&#205;\Protokoly_k_za&#345;&#237;zen&#237;\709B_Hora&#382;&#271;ovice_p&#345;.-Plze&#328;\&#382;st.%20Nezv&#283;stice" TargetMode="External"/><Relationship Id="rId181" Type="http://schemas.openxmlformats.org/officeDocument/2006/relationships/hyperlink" Target="file:///\\OR00000PLZNT011\SSZT_PLZ-Intern&#237;\DOKLADY_K_ZA&#344;&#205;ZEN&#205;\Protokoly_k_za&#345;&#237;zen&#237;\Uzel_Plze&#328;\Plze&#328;%20se&#345;.n" TargetMode="External"/><Relationship Id="rId237" Type="http://schemas.openxmlformats.org/officeDocument/2006/relationships/hyperlink" Target="file:///\\OR00000PLZNT011\SSZT_PLZ-Intern&#237;\DOKLADY_K_ZA&#344;&#205;ZEN&#205;\Protokoly_k_za&#345;&#237;zen&#237;\713A_Plze&#328;-Zbiroh\&#382;st.%20Ka&#345;&#237;zek" TargetMode="External"/><Relationship Id="rId402" Type="http://schemas.openxmlformats.org/officeDocument/2006/relationships/hyperlink" Target="file:///\\OR00000PLZNT011\SSZT_PLZ-Intern&#237;\DOKLADY_K_ZA&#344;&#205;ZEN&#205;\Protokoly_k_za&#345;&#237;zen&#237;\719_Plze&#328;-&#381;atec\PZS%20km%2021,504" TargetMode="External"/><Relationship Id="rId279" Type="http://schemas.openxmlformats.org/officeDocument/2006/relationships/hyperlink" Target="file:///\\OR00000PLZNT011\SSZT_PLZ-Intern&#237;\DOKLADY_K_ZA&#344;&#205;ZEN&#205;\Protokoly_k_za&#345;&#237;zen&#237;\Uzel_Plze&#328;\Ji&#382;n&#237;%20P&#345;edm&#283;st&#237;" TargetMode="External"/><Relationship Id="rId444" Type="http://schemas.openxmlformats.org/officeDocument/2006/relationships/hyperlink" Target="file:///\\OR00000PLZNT011\SSZT_PLZ-Intern&#237;\DOKLADY_K_ZA&#344;&#205;ZEN&#205;\Protokoly_k_za&#345;&#237;zen&#237;\719_Plze&#328;-&#381;atec\&#382;st.T&#345;emo&#353;n&#225;" TargetMode="External"/><Relationship Id="rId43" Type="http://schemas.openxmlformats.org/officeDocument/2006/relationships/hyperlink" Target="file:///\\OR00000PLZNT011\SSZT_PLZ-Intern&#237;\DOKLADY_K_ZA&#344;&#205;ZEN&#205;\Protokoly_k_za&#345;&#237;zen&#237;\711_Plze&#328;-&#381;.Ruda\PZS%20km%2044,499" TargetMode="External"/><Relationship Id="rId139" Type="http://schemas.openxmlformats.org/officeDocument/2006/relationships/hyperlink" Target="file:///\\OR00000PLZNT011\SSZT_PLZ-Intern&#237;\DOKLADY_K_ZA&#344;&#205;ZEN&#205;\Protokoly_k_za&#345;&#237;zen&#237;\712A_Vejprnice-&#268;.Kubice\PZS%20km%20171,316" TargetMode="External"/><Relationship Id="rId290" Type="http://schemas.openxmlformats.org/officeDocument/2006/relationships/hyperlink" Target="file:///\\OR00000PLZNT011\SSZT_PLZ-Intern&#237;\DOKLADY_K_ZA&#344;&#205;ZEN&#205;\Protokoly_k_za&#345;&#237;zen&#237;\711_Plze&#328;-&#381;.Ruda\PZS%20km%2080,645" TargetMode="External"/><Relationship Id="rId304" Type="http://schemas.openxmlformats.org/officeDocument/2006/relationships/hyperlink" Target="file:///\\OR00000PLZNT011\SSZT_PLZ-Intern&#237;\DOKLADY_K_ZA&#344;&#205;ZEN&#205;\Protokoly_k_za&#345;&#237;zen&#237;\711_Plze&#328;-&#381;.Ruda\PZS%20km%203,304" TargetMode="External"/><Relationship Id="rId346" Type="http://schemas.openxmlformats.org/officeDocument/2006/relationships/hyperlink" Target="file:///\\OR00000PLZNT011\SSZT_PLZ-Intern&#237;\DOKLADY_K_ZA&#344;&#205;ZEN&#205;\Protokoly_k_za&#345;&#237;zen&#237;\712A_Vejprnice-&#268;.Kubice\&#382;st.%20&#268;.Kubice" TargetMode="External"/><Relationship Id="rId388" Type="http://schemas.openxmlformats.org/officeDocument/2006/relationships/hyperlink" Target="file:///\\OR00000PLZNT011\SSZT_PLZ-Intern&#237;\DOKLADY_K_ZA&#344;&#205;ZEN&#205;\Protokoly_k_za&#345;&#237;zen&#237;\717A_Doma&#382;lice-Plan&#225;\&#382;st.%20Pob&#283;&#382;ovice" TargetMode="External"/><Relationship Id="rId85" Type="http://schemas.openxmlformats.org/officeDocument/2006/relationships/hyperlink" Target="file:///\\OR00000PLZNT011\SSZT_PLZ-Intern&#237;\DOKLADY_K_ZA&#344;&#205;ZEN&#205;\Protokoly_k_za&#345;&#237;zen&#237;\709B_Hora&#382;&#271;ovice_p&#345;.-Plze&#328;\TZZ%20Nepomuk%20-%20Pa&#269;ejov" TargetMode="External"/><Relationship Id="rId150" Type="http://schemas.openxmlformats.org/officeDocument/2006/relationships/hyperlink" Target="file:///\\OR00000PLZNT011\SSZT_PLZ-Intern&#237;\DOKLADY_K_ZA&#344;&#205;ZEN&#205;\Protokoly_k_za&#345;&#237;zen&#237;\714A_Rokycany-Nezv&#283;stice\Rokycany-Miro&#353;ov\PZS_km_2,656" TargetMode="External"/><Relationship Id="rId192" Type="http://schemas.openxmlformats.org/officeDocument/2006/relationships/hyperlink" Target="file:///\\OR00000PLZNT011\SSZT_PLZ-Intern&#237;\DOKLADY_K_ZA&#344;&#205;ZEN&#205;\Protokoly_k_za&#345;&#237;zen&#237;\714B_Ejpovice-Radnice\PZS%20km%2017,588" TargetMode="External"/><Relationship Id="rId206" Type="http://schemas.openxmlformats.org/officeDocument/2006/relationships/hyperlink" Target="file:///\\OR00000PLZNT011\SSZT_PLZ-Intern&#237;\DOKLADY_K_ZA&#344;&#205;ZEN&#205;\Protokoly_k_za&#345;&#237;zen&#237;\709B_Hora&#382;&#271;ovice_p&#345;.-Plze&#328;\PZS%20km%20330,454" TargetMode="External"/><Relationship Id="rId413" Type="http://schemas.openxmlformats.org/officeDocument/2006/relationships/hyperlink" Target="file:///\\OR00000PLZNT011\SSZT_PLZ-Intern&#237;\DOKLADY_K_ZA&#344;&#205;ZEN&#205;\Protokoly_k_za&#345;&#237;zen&#237;\717C_Sta&#328;kov-Pob&#283;&#382;ovice\PZS%20km%208,288" TargetMode="External"/><Relationship Id="rId248" Type="http://schemas.openxmlformats.org/officeDocument/2006/relationships/hyperlink" Target="file:///\\OR00000PLZNT011\SSZT_PLZ-Intern&#237;\DOKLADY_K_ZA&#344;&#205;ZEN&#205;\Protokoly_k_za&#345;&#237;zen&#237;\712A_Vejprnice-&#268;.Kubice\PZS%20km%20166,995" TargetMode="External"/><Relationship Id="rId455" Type="http://schemas.openxmlformats.org/officeDocument/2006/relationships/hyperlink" Target="file:///\\OR00000PLZNT011\SSZT_PLZ-Intern&#237;\DOKLADY_K_ZA&#344;&#205;ZEN&#205;\Protokoly_k_za&#345;&#237;zen&#237;\713A_Plze&#328;-Zbiroh\&#382;st.%20Ejpovice" TargetMode="External"/><Relationship Id="rId12" Type="http://schemas.openxmlformats.org/officeDocument/2006/relationships/hyperlink" Target="file:///\\OR00000PLZNT011\SSZT_PLZ-Intern&#237;\DOKLADY_K_ZA&#344;&#205;ZEN&#205;\Protokoly_k_za&#345;&#237;zen&#237;\720_Plze&#328;-Cheb\&#382;st.%20St&#345;&#237;bro" TargetMode="External"/><Relationship Id="rId108" Type="http://schemas.openxmlformats.org/officeDocument/2006/relationships/hyperlink" Target="file:///\\OR00000PLZNT011\SSZT_PLZ-Intern&#237;\DOKLADY_K_ZA&#344;&#205;ZEN&#205;\Protokoly_k_za&#345;&#237;zen&#237;\714A_Rokycany-Nezv&#283;stice\Miro&#353;ov-P&#345;&#237;kosice\PZS_km_8,583" TargetMode="External"/><Relationship Id="rId315" Type="http://schemas.openxmlformats.org/officeDocument/2006/relationships/hyperlink" Target="file:///\\OR00000PLZNT011\SSZT_PLZ-Intern&#237;\DOKLADY_K_ZA&#344;&#205;ZEN&#205;\Protokoly_k_za&#345;&#237;zen&#237;\717A_Doma&#382;lice-Plan&#225;\&#382;st.%20Bor" TargetMode="External"/><Relationship Id="rId357" Type="http://schemas.openxmlformats.org/officeDocument/2006/relationships/hyperlink" Target="file:///\\OR00000PLZNT011\SSZT_PLZ-Intern&#237;\DOKLADY_K_ZA&#344;&#205;ZEN&#205;\Protokoly_k_za&#345;&#237;zen&#237;\717A_Doma&#382;lice-Plan&#225;\PZS%20km%2043,471" TargetMode="External"/><Relationship Id="rId54" Type="http://schemas.openxmlformats.org/officeDocument/2006/relationships/hyperlink" Target="file:///\\OR00000PLZNT011\SSZT_PLZ-Intern&#237;\DOKLADY_K_ZA&#344;&#205;ZEN&#205;\Protokoly_k_za&#345;&#237;zen&#237;\712A_Vejprnice-&#268;.Kubice\PZS%20km%20159,074" TargetMode="External"/><Relationship Id="rId96" Type="http://schemas.openxmlformats.org/officeDocument/2006/relationships/hyperlink" Target="file:///\\OR00000PLZNT011\SSZT_PLZ-Intern&#237;\DOKLADY_K_ZA&#344;&#205;ZEN&#205;\Protokoly_k_za&#345;&#237;zen&#237;\709B_Hora&#382;&#271;ovice_p&#345;.-Plze&#328;\&#382;st.%20Hora&#382;&#271;ovice%20p&#345;" TargetMode="External"/><Relationship Id="rId161" Type="http://schemas.openxmlformats.org/officeDocument/2006/relationships/hyperlink" Target="file:///\\OR00000PLZNT011\SSZT_PLZ-Intern&#237;\DOKLADY_K_ZA&#344;&#205;ZEN&#205;\Protokoly_k_za&#345;&#237;zen&#237;\714A_Rokycany-Nezv&#283;stice\Miro&#353;ov-P&#345;&#237;kosice\PZS_km_11,719" TargetMode="External"/><Relationship Id="rId217" Type="http://schemas.openxmlformats.org/officeDocument/2006/relationships/hyperlink" Target="file:///\\OR00000PLZNT011\SSZT_PLZ-Intern&#237;\DOKLADY_K_ZA&#344;&#205;ZEN&#205;\Protokoly_k_za&#345;&#237;zen&#237;\714A_Rokycany-Nezv&#283;stice\P&#345;&#237;kosice-Nezv&#283;stice\PZS%20km%2023,487" TargetMode="External"/><Relationship Id="rId399" Type="http://schemas.openxmlformats.org/officeDocument/2006/relationships/hyperlink" Target="file:///\\OR00000PLZNT011\SSZT_PLZ-Intern&#237;\DOKLADY_K_ZA&#344;&#205;ZEN&#205;\Protokoly_k_za&#345;&#237;zen&#237;\712A_Vejprnice-&#268;.Kubice\PZS%20km%20124,882" TargetMode="External"/><Relationship Id="rId259" Type="http://schemas.openxmlformats.org/officeDocument/2006/relationships/hyperlink" Target="file:///\\OR00000PLZNT011\SSZT_PLZ-Intern&#237;\DOKLADY_K_ZA&#344;&#205;ZEN&#205;\Protokoly_k_za&#345;&#237;zen&#237;\720_Plze&#328;-Cheb\TZZ%20Kozolupy-P&#328;ovany" TargetMode="External"/><Relationship Id="rId424" Type="http://schemas.openxmlformats.org/officeDocument/2006/relationships/hyperlink" Target="file:///\\OR00000PLZNT011\SSZT_PLZ-Intern&#237;\DOKLADY_K_ZA&#344;&#205;ZEN&#205;\Protokoly_k_za&#345;&#237;zen&#237;\714B_Ejpovice-Radnice\PZS%20km%2013,391" TargetMode="External"/><Relationship Id="rId466" Type="http://schemas.openxmlformats.org/officeDocument/2006/relationships/hyperlink" Target="file:///\\OR00000PLZNT011\SSZT_PLZ-Intern&#237;\DOKLADY_K_ZA&#344;&#205;ZEN&#205;\Protokoly_k_za&#345;&#237;zen&#237;\711_Plze&#328;-&#381;.Ruda\&#382;st.%20Dob&#345;any" TargetMode="External"/><Relationship Id="rId23" Type="http://schemas.openxmlformats.org/officeDocument/2006/relationships/hyperlink" Target="file:///\\OR00000PLZNT011\SSZT_PLZ-Intern&#237;\DOKLADY_K_ZA&#344;&#205;ZEN&#205;\Protokoly_k_za&#345;&#237;zen&#237;\712A_Vejprnice-&#268;.Kubice\PZS%20km%20142,861+142,649" TargetMode="External"/><Relationship Id="rId119" Type="http://schemas.openxmlformats.org/officeDocument/2006/relationships/hyperlink" Target="file:///\\OR00000PLZNT011\SSZT_PLZ-Intern&#237;\DOKLADY_K_ZA&#344;&#205;ZEN&#205;\Protokoly_k_za&#345;&#237;zen&#237;\710A_Hora&#382;&#271;ovice-Klatovy\PZS%20km%2033,855" TargetMode="External"/><Relationship Id="rId270" Type="http://schemas.openxmlformats.org/officeDocument/2006/relationships/hyperlink" Target="file:///\\OR00000PLZNT011\SSZT_PLZ-Intern&#237;\DOKLADY_K_ZA&#344;&#205;ZEN&#205;\Protokoly_k_za&#345;&#237;zen&#237;\719_Plze&#328;-&#381;atec\PZS%20km%2011,217" TargetMode="External"/><Relationship Id="rId326" Type="http://schemas.openxmlformats.org/officeDocument/2006/relationships/hyperlink" Target="file:///\\OR00000PLZNT011\SSZT_PLZ-Intern&#237;\DOKLADY_K_ZA&#344;&#205;ZEN&#205;\Protokoly_k_za&#345;&#237;zen&#237;\713A_Plze&#328;-Zbiroh\TZZ%20Ejpovice-Plze&#328;" TargetMode="External"/><Relationship Id="rId65" Type="http://schemas.openxmlformats.org/officeDocument/2006/relationships/hyperlink" Target="file:///\\OR00000PLZNT011\SSZT_PLZ-Intern&#237;\DOKLADY_K_ZA&#344;&#205;ZEN&#205;\Protokoly_k_za&#345;&#237;zen&#237;\711_Plze&#328;-&#381;.Ruda\PZS%20km%2018,345" TargetMode="External"/><Relationship Id="rId130" Type="http://schemas.openxmlformats.org/officeDocument/2006/relationships/hyperlink" Target="file:///\\OR00000PLZNT011\SSZT_PLZ-Intern&#237;\DOKLADY_K_ZA&#344;&#205;ZEN&#205;\Protokoly_k_za&#345;&#237;zen&#237;\713A_Plze&#328;-Zbiroh\PZS%20km%2077,253" TargetMode="External"/><Relationship Id="rId368" Type="http://schemas.openxmlformats.org/officeDocument/2006/relationships/hyperlink" Target="file:///\\OR00000PLZNT011\SSZT_PLZ-Intern&#237;\DOKLADY_K_ZA&#344;&#205;ZEN&#205;\Protokoly_k_za&#345;&#237;zen&#237;\711_Plze&#328;-&#381;.Ruda\PZS%20km%2037,308" TargetMode="External"/><Relationship Id="rId172" Type="http://schemas.openxmlformats.org/officeDocument/2006/relationships/hyperlink" Target="file:///\\OR00000PLZNT011\SSZT_PLZ-Intern&#237;\DOKLADY_K_ZA&#344;&#205;ZEN&#205;\Protokoly_k_za&#345;&#237;zen&#237;\710A_Hora&#382;&#271;ovice-Klatovy\PZS%20km%2053,146" TargetMode="External"/><Relationship Id="rId228" Type="http://schemas.openxmlformats.org/officeDocument/2006/relationships/hyperlink" Target="file:///\\OR00000PLZNT011\SSZT_PLZ-Intern&#237;\DOKLADY_K_ZA&#344;&#205;ZEN&#205;\Protokoly_k_za&#345;&#237;zen&#237;\720_Plze&#328;-Cheb\&#382;st.%20P&#328;ovany" TargetMode="External"/><Relationship Id="rId435" Type="http://schemas.openxmlformats.org/officeDocument/2006/relationships/hyperlink" Target="file:///\\OR00000PLZNT011\SSZT_PLZ-Intern&#237;\DOKLADY_K_ZA&#344;&#205;ZEN&#205;\Protokoly_k_za&#345;&#237;zen&#237;\710A_Hora&#382;&#271;ovice-Klatovy\PZS%20km%2044,742" TargetMode="External"/><Relationship Id="rId477" Type="http://schemas.openxmlformats.org/officeDocument/2006/relationships/hyperlink" Target="file:///\\OR00000PLZNT011\SSZT_PLZ-Intern&#237;\DOKLADY_K_ZA&#344;&#205;ZEN&#205;\Protokoly_k_za&#345;&#237;zen&#237;\720_Plze&#328;-Cheb\TZZ%20St&#345;&#237;bro-Mil&#237;kov" TargetMode="External"/><Relationship Id="rId281" Type="http://schemas.openxmlformats.org/officeDocument/2006/relationships/hyperlink" Target="file:///\\OR00000PLZNT011\SSZT_PLZ-Intern&#237;\DOKLADY_K_ZA&#344;&#205;ZEN&#205;\Protokoly_k_za&#345;&#237;zen&#237;\717C_Sta&#328;kov-Pob&#283;&#382;ovice\H.T&#253;n" TargetMode="External"/><Relationship Id="rId337" Type="http://schemas.openxmlformats.org/officeDocument/2006/relationships/hyperlink" Target="file:///\\OR00000PLZNT011\SSZT_PLZ-Intern&#237;\DOKLADY_K_ZA&#344;&#205;ZEN&#205;\Protokoly_k_za&#345;&#237;zen&#237;\709B_Hora&#382;&#271;ovice_p&#345;.-Plze&#328;\PZS%20km%20306,247" TargetMode="External"/><Relationship Id="rId34" Type="http://schemas.openxmlformats.org/officeDocument/2006/relationships/hyperlink" Target="file:///\\OR00000PLZNT011\SSZT_PLZ-Intern&#237;\DOKLADY_K_ZA&#344;&#205;ZEN&#205;\Protokoly_k_za&#345;&#237;zen&#237;\710A_Hora&#382;&#271;ovice-Klatovy\PZS%20km%2050,354" TargetMode="External"/><Relationship Id="rId76" Type="http://schemas.openxmlformats.org/officeDocument/2006/relationships/hyperlink" Target="file:///\\OR00000PLZNT011\SSZT_PLZ-Intern&#237;\DOKLADY_K_ZA&#344;&#205;ZEN&#205;\Protokoly_k_za&#345;&#237;zen&#237;\711_Plze&#328;-&#381;.Ruda\PZS%20km%2041,112" TargetMode="External"/><Relationship Id="rId141" Type="http://schemas.openxmlformats.org/officeDocument/2006/relationships/hyperlink" Target="file:///\\OR00000PLZNT011\SSZT_PLZ-Intern&#237;\DOKLADY_K_ZA&#344;&#205;ZEN&#205;\Protokoly_k_za&#345;&#237;zen&#237;\717A_Doma&#382;lice-Plan&#225;\PZS%20km%2016,168" TargetMode="External"/><Relationship Id="rId379" Type="http://schemas.openxmlformats.org/officeDocument/2006/relationships/hyperlink" Target="file:///\\OR00000PLZNT011\SSZT_PLZ-Intern&#237;\DOKLADY_K_ZA&#344;&#205;ZEN&#205;\Protokoly_k_za&#345;&#237;zen&#237;\711_Plze&#328;-&#381;.Ruda\PZS%20km%2066,362" TargetMode="External"/><Relationship Id="rId7" Type="http://schemas.openxmlformats.org/officeDocument/2006/relationships/hyperlink" Target="file:///\\OR00000PLZNT011\SSZT_PLZ-Intern&#237;\DOKLADY_K_ZA&#344;&#205;ZEN&#205;\Protokoly_k_za&#345;&#237;zen&#237;\710A_Hora&#382;&#271;ovice-Klatovy\PZS%20km%2049,181" TargetMode="External"/><Relationship Id="rId183" Type="http://schemas.openxmlformats.org/officeDocument/2006/relationships/hyperlink" Target="file:///\\OR00000PLZNT011\SSZT_PLZ-Intern&#237;\DOKLADY_K_ZA&#344;&#205;ZEN&#205;\Protokoly_k_za&#345;&#237;zen&#237;\Uzel_Plze&#328;\Plze&#328;%20se&#345;.n" TargetMode="External"/><Relationship Id="rId239" Type="http://schemas.openxmlformats.org/officeDocument/2006/relationships/hyperlink" Target="file:///\\OR00000PLZNT011\SSZT_PLZ-Intern&#237;\DOKLADY_K_ZA&#344;&#205;ZEN&#205;\Protokoly_k_za&#345;&#237;zen&#237;\714B_Ejpovice-Radnice\PZS%20km%203,975" TargetMode="External"/><Relationship Id="rId390" Type="http://schemas.openxmlformats.org/officeDocument/2006/relationships/hyperlink" Target="file:///\\OR00000PLZNT011\SSZT_PLZ-Intern&#237;\DOKLADY_K_ZA&#344;&#205;ZEN&#205;\Protokoly_k_za&#345;&#237;zen&#237;\720_Plze&#328;-Cheb\&#382;st.%20Plan&#225;%20u%20Mar.%20L&#225;zn&#237;" TargetMode="External"/><Relationship Id="rId404" Type="http://schemas.openxmlformats.org/officeDocument/2006/relationships/hyperlink" Target="file:///\\OR00000PLZNT011\SSZT_PLZ-Intern&#237;\DOKLADY_K_ZA&#344;&#205;ZEN&#205;\Protokoly_k_za&#345;&#237;zen&#237;\712A_Vejprnice-&#268;.Kubice\&#382;st.%20Sta&#328;kov\odb.%20Vr&#225;nov" TargetMode="External"/><Relationship Id="rId446" Type="http://schemas.openxmlformats.org/officeDocument/2006/relationships/hyperlink" Target="file:///\\OR00000PLZNT011\SSZT_PLZ-Intern&#237;\DOKLADY_K_ZA&#344;&#205;ZEN&#205;\Protokoly_k_za&#345;&#237;zen&#237;\712A_Vejprnice-&#268;.Kubice\PZS%20km%20141,403" TargetMode="External"/><Relationship Id="rId250" Type="http://schemas.openxmlformats.org/officeDocument/2006/relationships/hyperlink" Target="file:///\\OR00000PLZNT011\SSZT_PLZ-Intern&#237;\DOKLADY_K_ZA&#344;&#205;ZEN&#205;\Protokoly_k_za&#345;&#237;zen&#237;\710A_Hora&#382;&#271;ovice-Klatovy\PZS%20km%2019,278" TargetMode="External"/><Relationship Id="rId292" Type="http://schemas.openxmlformats.org/officeDocument/2006/relationships/hyperlink" Target="file:///\\OR00000PLZNT011\SSZT_PLZ-Intern&#237;\DOKLADY_K_ZA&#344;&#205;ZEN&#205;\Protokoly_k_za&#345;&#237;zen&#237;\712A_Vejprnice-&#268;.Kubice\PZS%20km%20123,613" TargetMode="External"/><Relationship Id="rId306" Type="http://schemas.openxmlformats.org/officeDocument/2006/relationships/hyperlink" Target="file:///\\OR00000PLZNT011\SSZT_PLZ-Intern&#237;\DOKLADY_K_ZA&#344;&#205;ZEN&#205;\Protokoly_k_za&#345;&#237;zen&#237;\711_Plze&#328;-&#381;.Ruda\PZS%20km%2026,073" TargetMode="External"/><Relationship Id="rId45" Type="http://schemas.openxmlformats.org/officeDocument/2006/relationships/hyperlink" Target="file:///\\OR00000PLZNT011\SSZT_PLZ-Intern&#237;\DOKLADY_K_ZA&#344;&#205;ZEN&#205;\Protokoly_k_za&#345;&#237;zen&#237;\711_Plze&#328;-&#381;.Ruda\PZS%20km%2045,331" TargetMode="External"/><Relationship Id="rId87" Type="http://schemas.openxmlformats.org/officeDocument/2006/relationships/hyperlink" Target="file:///\\OR00000PLZNT011\SSZT_PLZ-Intern&#237;\DOKLADY_K_ZA&#344;&#205;ZEN&#205;\Protokoly_k_za&#345;&#237;zen&#237;\719_Plze&#328;-&#381;atec\&#382;st.Mladotice" TargetMode="External"/><Relationship Id="rId110" Type="http://schemas.openxmlformats.org/officeDocument/2006/relationships/hyperlink" Target="file:///\\OR00000PLZNT011\SSZT_PLZ-Intern&#237;\DOKLADY_K_ZA&#344;&#205;ZEN&#205;\Protokoly_k_za&#345;&#237;zen&#237;\710A_Hora&#382;&#271;ovice-Klatovy\PZS%20km%2022,777" TargetMode="External"/><Relationship Id="rId348" Type="http://schemas.openxmlformats.org/officeDocument/2006/relationships/hyperlink" Target="file:///\\OR00000PLZNT011\SSZT_PLZ-Intern&#237;\DOKLADY_K_ZA&#344;&#205;ZEN&#205;\Protokoly_k_za&#345;&#237;zen&#237;\712A_Vejprnice-&#268;.Kubice\&#382;st.%20&#268;.Kubice" TargetMode="External"/><Relationship Id="rId152" Type="http://schemas.openxmlformats.org/officeDocument/2006/relationships/hyperlink" Target="file:///\\OR00000PLZNT011\SSZT_PLZ-Intern&#237;\DOKLADY_K_ZA&#344;&#205;ZEN&#205;\Protokoly_k_za&#345;&#237;zen&#237;\714A_Rokycany-Nezv&#283;stice\Rokycany-Miro&#353;ov\PZS_km_4,731" TargetMode="External"/><Relationship Id="rId194" Type="http://schemas.openxmlformats.org/officeDocument/2006/relationships/hyperlink" Target="file:///\\OR00000PLZNT011\SSZT_PLZ-Intern&#237;\DOKLADY_K_ZA&#344;&#205;ZEN&#205;\Protokoly_k_za&#345;&#237;zen&#237;\714B_Ejpovice-Radnice\PZS%20km%2018,397" TargetMode="External"/><Relationship Id="rId208" Type="http://schemas.openxmlformats.org/officeDocument/2006/relationships/hyperlink" Target="file:///\\OR00000PLZNT011\SSZT_PLZ-Intern&#237;\DOKLADY_K_ZA&#344;&#205;ZEN&#205;\Protokoly_k_za&#345;&#237;zen&#237;\709B_Hora&#382;&#271;ovice_p&#345;.-Plze&#328;\PZS%20km%20331,469" TargetMode="External"/><Relationship Id="rId415" Type="http://schemas.openxmlformats.org/officeDocument/2006/relationships/hyperlink" Target="file:///\\OR00000PLZNT011\SSZT_PLZ-Intern&#237;\DOKLADY_K_ZA&#344;&#205;ZEN&#205;\Protokoly_k_za&#345;&#237;zen&#237;\720_Plze&#328;-Cheb\PZS%20km%20417,128" TargetMode="External"/><Relationship Id="rId457" Type="http://schemas.openxmlformats.org/officeDocument/2006/relationships/hyperlink" Target="file:///\\OR00000PLZNT011\SSZT_PLZ-Intern&#237;\DOKLADY_K_ZA&#344;&#205;ZEN&#205;\Protokoly_k_za&#345;&#237;zen&#237;\711_Plze&#328;-&#381;.Ruda\&#382;st.%20Dob&#345;any" TargetMode="External"/><Relationship Id="rId261" Type="http://schemas.openxmlformats.org/officeDocument/2006/relationships/hyperlink" Target="file:///\\OR00000PLZNT011\SSZT_PLZ-Intern&#237;\DOKLADY_K_ZA&#344;&#205;ZEN&#205;\Protokoly_k_za&#345;&#237;zen&#237;\720_Plze&#328;-Cheb\TZZ%20P&#328;ovany-Vranov" TargetMode="External"/><Relationship Id="rId14" Type="http://schemas.openxmlformats.org/officeDocument/2006/relationships/hyperlink" Target="file:///\\OR00000PLZNT011\SSZT_PLZ-Intern&#237;\DOKLADY_K_ZA&#344;&#205;ZEN&#205;\Protokoly_k_za&#345;&#237;zen&#237;\711_Plze&#328;-&#381;.Ruda\PZS%20km%2072,883" TargetMode="External"/><Relationship Id="rId56" Type="http://schemas.openxmlformats.org/officeDocument/2006/relationships/hyperlink" Target="file:///\\OR00000PLZNT011\SSZT_PLZ-Intern&#237;\DOKLADY_K_ZA&#344;&#205;ZEN&#205;\Protokoly_k_za&#345;&#237;zen&#237;\712A_Vejprnice-&#268;.Kubice\v&#253;h.%20Radonice" TargetMode="External"/><Relationship Id="rId317" Type="http://schemas.openxmlformats.org/officeDocument/2006/relationships/hyperlink" Target="file:///\\OR00000PLZNT011\SSZT_PLZ-Intern&#237;\DOKLADY_K_ZA&#344;&#205;ZEN&#205;\Protokoly_k_za&#345;&#237;zen&#237;\717A_Doma&#382;lice-Plan&#225;\PZS%20km%208,750" TargetMode="External"/><Relationship Id="rId359" Type="http://schemas.openxmlformats.org/officeDocument/2006/relationships/hyperlink" Target="file:///\\OR00000PLZNT011\SSZT_PLZ-Intern&#237;\DOKLADY_K_ZA&#344;&#205;ZEN&#205;\Protokoly_k_za&#345;&#237;zen&#237;\719_Plze&#328;-&#381;atec\PZS%20km%208,161" TargetMode="External"/><Relationship Id="rId98" Type="http://schemas.openxmlformats.org/officeDocument/2006/relationships/hyperlink" Target="file:///\\OR00000PLZNT011\SSZT_PLZ-Intern&#237;\DOKLADY_K_ZA&#344;&#205;ZEN&#205;\Protokoly_k_za&#345;&#237;zen&#237;\720_Plze&#328;-Cheb\&#382;st.%20O&#353;el&#237;n" TargetMode="External"/><Relationship Id="rId121" Type="http://schemas.openxmlformats.org/officeDocument/2006/relationships/hyperlink" Target="file:///\\OR00000PLZNT011\SSZT_PLZ-Intern&#237;\DOKLADY_K_ZA&#344;&#205;ZEN&#205;\Protokoly_k_za&#345;&#237;zen&#237;\712A_Vejprnice-&#268;.Kubice\PZS%20km%20135,957" TargetMode="External"/><Relationship Id="rId163" Type="http://schemas.openxmlformats.org/officeDocument/2006/relationships/hyperlink" Target="file:///\\OR00000PLZNT011\SSZT_PLZ-Intern&#237;\DOKLADY_K_ZA&#344;&#205;ZEN&#205;\Protokoly_k_za&#345;&#237;zen&#237;\714A_Rokycany-Nezv&#283;stice\Miro&#353;ov-P&#345;&#237;kosice\PZS_km_12,361" TargetMode="External"/><Relationship Id="rId219" Type="http://schemas.openxmlformats.org/officeDocument/2006/relationships/hyperlink" Target="file:///\\OR00000PLZNT011\SSZT_PLZ-Intern&#237;\DOKLADY_K_ZA&#344;&#205;ZEN&#205;\Protokoly_k_za&#345;&#237;zen&#237;\720_Plze&#328;-Cheb\PZS%20km%20361,658%20Kozolupy" TargetMode="External"/><Relationship Id="rId370" Type="http://schemas.openxmlformats.org/officeDocument/2006/relationships/hyperlink" Target="file:///\\OR00000PLZNT011\SSZT_PLZ-Intern&#237;\DOKLADY_K_ZA&#344;&#205;ZEN&#205;\Protokoly_k_za&#345;&#237;zen&#237;\711_Plze&#328;-&#381;.Ruda\PZS%20km%2039,136" TargetMode="External"/><Relationship Id="rId426" Type="http://schemas.openxmlformats.org/officeDocument/2006/relationships/hyperlink" Target="file:///\\OR00000PLZNT011\SSZT_PLZ-Intern&#237;\DOKLADY_K_ZA&#344;&#205;ZEN&#205;\Protokoly_k_za&#345;&#237;zen&#237;\710A_Hora&#382;&#271;ovice-Klatovy\PZS%20km%2036,838" TargetMode="External"/><Relationship Id="rId230" Type="http://schemas.openxmlformats.org/officeDocument/2006/relationships/hyperlink" Target="file:///\\OR00000PLZNT011\SSZT_PLZ-Intern&#237;\DOKLADY_K_ZA&#344;&#205;ZEN&#205;\Protokoly_k_za&#345;&#237;zen&#237;\710A_Hora&#382;&#271;ovice-Klatovy\PZS%20km%2056,202" TargetMode="External"/><Relationship Id="rId468" Type="http://schemas.openxmlformats.org/officeDocument/2006/relationships/hyperlink" Target="file:///\\OR00000PLZNT011\SSZT_PLZ-Intern&#237;\DOKLADY_K_ZA&#344;&#205;ZEN&#205;\Protokoly_k_za&#345;&#237;zen&#237;\713A_Plze&#328;-Zbiroh\&#382;st.%20Ka&#345;&#237;zek" TargetMode="External"/><Relationship Id="rId25" Type="http://schemas.openxmlformats.org/officeDocument/2006/relationships/hyperlink" Target="file:///\\OR00000PLZNT011\SSZT_PLZ-Intern&#237;\DOKLADY_K_ZA&#344;&#205;ZEN&#205;\Protokoly_k_za&#345;&#237;zen&#237;\710A_Hora&#382;&#271;ovice-Klatovy\PZS%20km%2023,084" TargetMode="External"/><Relationship Id="rId67" Type="http://schemas.openxmlformats.org/officeDocument/2006/relationships/hyperlink" Target="file:///\\OR00000PLZNT011\SSZT_PLZ-Intern&#237;\DOKLADY_K_ZA&#344;&#205;ZEN&#205;\Protokoly_k_za&#345;&#237;zen&#237;\711_Plze&#328;-&#381;.Ruda\&#382;st.%20&#352;pi&#269;&#225;k" TargetMode="External"/><Relationship Id="rId272" Type="http://schemas.openxmlformats.org/officeDocument/2006/relationships/hyperlink" Target="file:///\\OR00000PLZNT011\SSZT_PLZ-Intern&#237;\DOKLADY_K_ZA&#344;&#205;ZEN&#205;\Protokoly_k_za&#345;&#237;zen&#237;\717A_Doma&#382;lice-Plan&#225;\PZS%20km%203,935" TargetMode="External"/><Relationship Id="rId328" Type="http://schemas.openxmlformats.org/officeDocument/2006/relationships/hyperlink" Target="file:///\\OR00000PLZNT011\SSZT_PLZ-Intern&#237;\DOKLADY_K_ZA&#344;&#205;ZEN&#205;\Protokoly_k_za&#345;&#237;zen&#237;\710A_Hora&#382;&#271;ovice-Klatovy\PZS%20km%2010,166" TargetMode="External"/><Relationship Id="rId132" Type="http://schemas.openxmlformats.org/officeDocument/2006/relationships/hyperlink" Target="file:///\\OR00000PLZNT011\SSZT_PLZ-Intern&#237;\DOKLADY_K_ZA&#344;&#205;ZEN&#205;\Protokoly_k_za&#345;&#237;zen&#237;\714A_Rokycany-Nezv&#283;stice\Kamenn&#253;%20&#218;jezd" TargetMode="External"/><Relationship Id="rId174" Type="http://schemas.openxmlformats.org/officeDocument/2006/relationships/hyperlink" Target="file:///\\OR00000PLZNT011\SSZT_PLZ-Intern&#237;\DOKLADY_K_ZA&#344;&#205;ZEN&#205;\Protokoly_k_za&#345;&#237;zen&#237;\714B_Ejpovice-Radnice\PZS%20km%2010,504" TargetMode="External"/><Relationship Id="rId381" Type="http://schemas.openxmlformats.org/officeDocument/2006/relationships/hyperlink" Target="file:///\\OR00000PLZNT011\SSZT_PLZ-Intern&#237;\DOKLADY_K_ZA&#344;&#205;ZEN&#205;\Protokoly_k_za&#345;&#237;zen&#237;\709B_Hora&#382;&#271;ovice_p&#345;.-Plze&#328;\PZS%20km%20338,774" TargetMode="External"/><Relationship Id="rId241" Type="http://schemas.openxmlformats.org/officeDocument/2006/relationships/hyperlink" Target="file:///\\OR00000PLZNT011\SSZT_PLZ-Intern&#237;\DOKLADY_K_ZA&#344;&#205;ZEN&#205;\Protokoly_k_za&#345;&#237;zen&#237;\713A_Plze&#328;-Zbiroh\&#382;st.%20Ka&#345;&#237;zek" TargetMode="External"/><Relationship Id="rId437" Type="http://schemas.openxmlformats.org/officeDocument/2006/relationships/hyperlink" Target="file:///\\OR00000PLZNT011\SSZT_PLZ-Intern&#237;\DOKLADY_K_ZA&#344;&#205;ZEN&#205;\Protokoly_k_za&#345;&#237;zen&#237;\712A_Vejprnice-&#268;.Kubice\TZZ%20Chot&#283;&#353;ov-Stod" TargetMode="External"/><Relationship Id="rId36" Type="http://schemas.openxmlformats.org/officeDocument/2006/relationships/hyperlink" Target="file:///\\OR00000PLZNT011\SSZT_PLZ-Intern&#237;\DOKLADY_K_ZA&#344;&#205;ZEN&#205;\Protokoly_k_za&#345;&#237;zen&#237;\710A_Hora&#382;&#271;ovice-Klatovy\PZS%20km%2054,128" TargetMode="External"/><Relationship Id="rId283" Type="http://schemas.openxmlformats.org/officeDocument/2006/relationships/hyperlink" Target="file:///\\OR00000PLZNT011\SSZT_PLZ-Intern&#237;\DOKLADY_K_ZA&#344;&#205;ZEN&#205;\Protokoly_k_za&#345;&#237;zen&#237;\713A_Plze&#328;-Zbiroh\&#382;st.%20Rokycany" TargetMode="External"/><Relationship Id="rId339" Type="http://schemas.openxmlformats.org/officeDocument/2006/relationships/hyperlink" Target="file:///\\OR00000PLZNT011\SSZT_PLZ-Intern&#237;\DOKLADY_K_ZA&#344;&#205;ZEN&#205;\Protokoly_k_za&#345;&#237;zen&#237;\709B_Hora&#382;&#271;ovice_p&#345;.-Plze&#328;\PZS%20km%20325,043" TargetMode="External"/><Relationship Id="rId78" Type="http://schemas.openxmlformats.org/officeDocument/2006/relationships/hyperlink" Target="file:///\\OR00000PLZNT011\SSZT_PLZ-Intern&#237;\DOKLADY_K_ZA&#344;&#205;ZEN&#205;\Protokoly_k_za&#345;&#237;zen&#237;\711_Plze&#328;-&#381;.Ruda\&#382;st.%20Janovice%20nad%20&#218;hlavou" TargetMode="External"/><Relationship Id="rId101" Type="http://schemas.openxmlformats.org/officeDocument/2006/relationships/hyperlink" Target="file:///\\OR00000PLZNT011\SSZT_PLZ-Intern&#237;\DOKLADY_K_ZA&#344;&#205;ZEN&#205;\Protokoly_k_za&#345;&#237;zen&#237;\714C_P&#328;ovany-Bezdru&#382;ice\PZS%20km%2012,587" TargetMode="External"/><Relationship Id="rId143" Type="http://schemas.openxmlformats.org/officeDocument/2006/relationships/hyperlink" Target="file:///\\OR00000PLZNT011\SSZT_PLZ-Intern&#237;\DOKLADY_K_ZA&#344;&#205;ZEN&#205;\Protokoly_k_za&#345;&#237;zen&#237;\717A_Doma&#382;lice-Plan&#225;\PZS%20km%2053,454" TargetMode="External"/><Relationship Id="rId185" Type="http://schemas.openxmlformats.org/officeDocument/2006/relationships/hyperlink" Target="file:///\\OR00000PLZNT011\SSZT_PLZ-Intern&#237;\DOKLADY_K_ZA&#344;&#205;ZEN&#205;\Protokoly_k_za&#345;&#237;zen&#237;\Uzel_Plze&#328;\Plze&#328;%20se&#345;.n" TargetMode="External"/><Relationship Id="rId350" Type="http://schemas.openxmlformats.org/officeDocument/2006/relationships/hyperlink" Target="file:///\\OR00000PLZNT011\SSZT_PLZ-Intern&#237;\DOKLADY_K_ZA&#344;&#205;ZEN&#205;\Protokoly_k_za&#345;&#237;zen&#237;\710A_Hora&#382;&#271;ovice-Klatovy\&#382;st.%20Hr&#225;dek%20u%20Su&#353;ice" TargetMode="External"/><Relationship Id="rId406" Type="http://schemas.openxmlformats.org/officeDocument/2006/relationships/hyperlink" Target="file:///\\OR00000PLZNT011\SSZT_PLZ-Intern&#237;\DOKLADY_K_ZA&#344;&#205;ZEN&#205;\Protokoly_k_za&#345;&#237;zen&#237;\Uzel_Plze&#328;\Nov&#225;%20Hospoda" TargetMode="External"/><Relationship Id="rId9" Type="http://schemas.openxmlformats.org/officeDocument/2006/relationships/hyperlink" Target="file:///\\OR00000PLZNT011\SSZT_PLZ-Intern&#237;\DOKLADY_K_ZA&#344;&#205;ZEN&#205;\Protokoly_k_za&#345;&#237;zen&#237;\720_Plze&#328;-Cheb\&#382;st.%20Mil&#237;kov" TargetMode="External"/><Relationship Id="rId210" Type="http://schemas.openxmlformats.org/officeDocument/2006/relationships/hyperlink" Target="file:///\\OR00000PLZNT011\SSZT_PLZ-Intern&#237;\DOKLADY_K_ZA&#344;&#205;ZEN&#205;\Protokoly_k_za&#345;&#237;zen&#237;\712A_Vejprnice-&#268;.Kubice\PZS%20km%20176,206" TargetMode="External"/><Relationship Id="rId392" Type="http://schemas.openxmlformats.org/officeDocument/2006/relationships/hyperlink" Target="file:///\\OR00000PLZNT011\SSZT_PLZ-Intern&#237;\DOKLADY_K_ZA&#344;&#205;ZEN&#205;\Protokoly_k_za&#345;&#237;zen&#237;\711_Plze&#328;-&#381;.Ruda\&#382;st.%20Klatovy" TargetMode="External"/><Relationship Id="rId448" Type="http://schemas.openxmlformats.org/officeDocument/2006/relationships/hyperlink" Target="file:///\\OR00000PLZNT011\SSZT_PLZ-Intern&#237;\DOKLADY_K_ZA&#344;&#205;ZEN&#205;\Protokoly_k_za&#345;&#237;zen&#237;\712A_Vejprnice-&#268;.Kubice\&#382;st.%20Hol&#253;&#353;ov" TargetMode="External"/><Relationship Id="rId252" Type="http://schemas.openxmlformats.org/officeDocument/2006/relationships/hyperlink" Target="file:///\\OR00000PLZNT011\SSZT_PLZ-Intern&#237;\DOKLADY_K_ZA&#344;&#205;ZEN&#205;\Protokoly_k_za&#345;&#237;zen&#237;\720_Plze&#328;-Cheb\&#382;st.%20Svoj&#353;&#237;n" TargetMode="External"/><Relationship Id="rId294" Type="http://schemas.openxmlformats.org/officeDocument/2006/relationships/hyperlink" Target="file:///\\OR00000PLZNT011\SSZT_PLZ-Intern&#237;\DOKLADY_K_ZA&#344;&#205;ZEN&#205;\Protokoly_k_za&#345;&#237;zen&#237;\712B_N&#253;&#345;any-H.Hu&#357;\PZS%20km%209,426" TargetMode="External"/><Relationship Id="rId308" Type="http://schemas.openxmlformats.org/officeDocument/2006/relationships/hyperlink" Target="file:///\\OR00000PLZNT011\SSZT_PLZ-Intern&#237;\DOKLADY_K_ZA&#344;&#205;ZEN&#205;\Protokoly_k_za&#345;&#237;zen&#237;\711_Plze&#328;-&#381;.Ruda\PZS%20km%2027,547" TargetMode="External"/><Relationship Id="rId47" Type="http://schemas.openxmlformats.org/officeDocument/2006/relationships/hyperlink" Target="file:///\\OR00000PLZNT011\SSZT_PLZ-Intern&#237;\DOKLADY_K_ZA&#344;&#205;ZEN&#205;\Protokoly_k_za&#345;&#237;zen&#237;\711_Plze&#328;-&#381;.Ruda\PZS%20km%2094,887" TargetMode="External"/><Relationship Id="rId89" Type="http://schemas.openxmlformats.org/officeDocument/2006/relationships/hyperlink" Target="file:///\\OR00000PLZNT011\SSZT_PLZ-Intern&#237;\DOKLADY_K_ZA&#344;&#205;ZEN&#205;\Protokoly_k_za&#345;&#237;zen&#237;\Uzel_Plze&#328;\Plze&#328;%20se&#345;.n" TargetMode="External"/><Relationship Id="rId112" Type="http://schemas.openxmlformats.org/officeDocument/2006/relationships/hyperlink" Target="file:///\\OR00000PLZNT011\SSZT_PLZ-Intern&#237;\DOKLADY_K_ZA&#344;&#205;ZEN&#205;\Protokoly_k_za&#345;&#237;zen&#237;\710A_Hora&#382;&#271;ovice-Klatovy\&#382;st.%20V.%20Hyd&#269;ice" TargetMode="External"/><Relationship Id="rId154" Type="http://schemas.openxmlformats.org/officeDocument/2006/relationships/hyperlink" Target="file:///\\OR00000PLZNT011\SSZT_PLZ-Intern&#237;\DOKLADY_K_ZA&#344;&#205;ZEN&#205;\Protokoly_k_za&#345;&#237;zen&#237;\714A_Rokycany-Nezv&#283;stice\Rokycany-Miro&#353;ov\PZS_km_5,172" TargetMode="External"/><Relationship Id="rId361" Type="http://schemas.openxmlformats.org/officeDocument/2006/relationships/hyperlink" Target="file:///\\OR00000PLZNT011\SSZT_PLZ-Intern&#237;\DOKLADY_K_ZA&#344;&#205;ZEN&#205;\Protokoly_k_za&#345;&#237;zen&#237;\719_Plze&#328;-&#381;atec\PZS%20km%209,213" TargetMode="External"/><Relationship Id="rId196" Type="http://schemas.openxmlformats.org/officeDocument/2006/relationships/hyperlink" Target="file:///\\OR00000PLZNT011\SSZT_PLZ-Intern&#237;\DOKLADY_K_ZA&#344;&#205;ZEN&#205;\Protokoly_k_za&#345;&#237;zen&#237;\714B_Ejpovice-Radnice\PZS%20km%2016,669" TargetMode="External"/><Relationship Id="rId417" Type="http://schemas.openxmlformats.org/officeDocument/2006/relationships/hyperlink" Target="file:///\\OR00000PLZNT011\SSZT_PLZ-Intern&#237;\DOKLADY_K_ZA&#344;&#205;ZEN&#205;\Protokoly_k_za&#345;&#237;zen&#237;\710A_Hora&#382;&#271;ovice-Klatovy\PZS%20km%2024,379" TargetMode="External"/><Relationship Id="rId459" Type="http://schemas.openxmlformats.org/officeDocument/2006/relationships/hyperlink" Target="file:///\\OR00000PLZNT011\SSZT_PLZ-Intern&#237;\DOKLADY_K_ZA&#344;&#205;ZEN&#205;\Protokoly_k_za&#345;&#237;zen&#237;\711_Plze&#328;-&#381;.Ruda\PZS%20km%2085,557" TargetMode="External"/><Relationship Id="rId16" Type="http://schemas.openxmlformats.org/officeDocument/2006/relationships/hyperlink" Target="file:///\\OR00000PLZNT011\SSZT_PLZ-Intern&#237;\DOKLADY_K_ZA&#344;&#205;ZEN&#205;\Protokoly_k_za&#345;&#237;zen&#237;\717A_Doma&#382;lice-Plan&#225;\PZS%20km%2028,872" TargetMode="External"/><Relationship Id="rId221" Type="http://schemas.openxmlformats.org/officeDocument/2006/relationships/hyperlink" Target="file:///\\OR00000PLZNT011\SSZT_PLZ-Intern&#237;\DOKLADY_K_ZA&#344;&#205;ZEN&#205;\Protokoly_k_za&#345;&#237;zen&#237;\711_Plze&#328;-&#381;.Ruda\PZS%20km%2055,654" TargetMode="External"/><Relationship Id="rId263" Type="http://schemas.openxmlformats.org/officeDocument/2006/relationships/hyperlink" Target="file:///\\OR00000PLZNT011\SSZT_PLZ-Intern&#237;\DOKLADY_K_ZA&#344;&#205;ZEN&#205;\Protokoly_k_za&#345;&#237;zen&#237;\710A_Hora&#382;&#271;ovice-Klatovy\TZZ%20Velk&#233;%20Hyd&#269;ice-&#381;ichovice" TargetMode="External"/><Relationship Id="rId319" Type="http://schemas.openxmlformats.org/officeDocument/2006/relationships/hyperlink" Target="file:///\\OR00000PLZNT011\SSZT_PLZ-Intern&#237;\DOKLADY_K_ZA&#344;&#205;ZEN&#205;\Protokoly_k_za&#345;&#237;zen&#237;\711_Plze&#328;-&#381;.Ruda\PZS%20km%2094,078" TargetMode="External"/><Relationship Id="rId470" Type="http://schemas.openxmlformats.org/officeDocument/2006/relationships/hyperlink" Target="file:///\\OR00000PLZNT011\SSZT_PLZ-Intern&#237;\DOKLADY_K_ZA&#344;&#205;ZEN&#205;\Protokoly_k_za&#345;&#237;zen&#237;\712A_Vejprnice-&#268;.Kubice\v&#253;h.%20Chot&#283;&#353;ov" TargetMode="External"/><Relationship Id="rId58" Type="http://schemas.openxmlformats.org/officeDocument/2006/relationships/hyperlink" Target="file:///\\OR00000PLZNT011\SSZT_PLZ-Intern&#237;\DOKLADY_K_ZA&#344;&#205;ZEN&#205;\Protokoly_k_za&#345;&#237;zen&#237;\711_Plze&#328;-&#381;.Ruda\PZS%20km%2023,468" TargetMode="External"/><Relationship Id="rId123" Type="http://schemas.openxmlformats.org/officeDocument/2006/relationships/hyperlink" Target="file:///\\OR00000PLZNT011\SSZT_PLZ-Intern&#237;\DOKLADY_K_ZA&#344;&#205;ZEN&#205;\Protokoly_k_za&#345;&#237;zen&#237;\712A_Vejprnice-&#268;.Kubice\PZS%20km%20137,473" TargetMode="External"/><Relationship Id="rId330" Type="http://schemas.openxmlformats.org/officeDocument/2006/relationships/hyperlink" Target="file:///\\OR00000PLZNT011\SSZT_PLZ-Intern&#237;\DOKLADY_K_ZA&#344;&#205;ZEN&#205;\Protokoly_k_za&#345;&#237;zen&#237;\712A_Vejprnice-&#268;.Kubice\&#382;st.%20Doma&#382;lice" TargetMode="External"/><Relationship Id="rId165" Type="http://schemas.openxmlformats.org/officeDocument/2006/relationships/hyperlink" Target="file:///\\OR00000PLZNT011\SSZT_PLZ-Intern&#237;\DOKLADY_K_ZA&#344;&#205;ZEN&#205;\Protokoly_k_za&#345;&#237;zen&#237;\714A_Rokycany-Nezv&#283;stice\&#381;st.%20Miro&#353;ov" TargetMode="External"/><Relationship Id="rId372" Type="http://schemas.openxmlformats.org/officeDocument/2006/relationships/hyperlink" Target="file:///\\OR00000PLZNT011\SSZT_PLZ-Intern&#237;\DOKLADY_K_ZA&#344;&#205;ZEN&#205;\Protokoly_k_za&#345;&#237;zen&#237;\711_Plze&#328;-&#381;.Ruda\PZS%20km%2078,225" TargetMode="External"/><Relationship Id="rId428" Type="http://schemas.openxmlformats.org/officeDocument/2006/relationships/hyperlink" Target="file:///\\OR00000PLZNT011\SSZT_PLZ-Intern&#237;\DOKLADY_K_ZA&#344;&#205;ZEN&#205;\Protokoly_k_za&#345;&#237;zen&#237;\710A_Hora&#382;&#271;ovice-Klatovy\PZS%20km%2038,928" TargetMode="External"/><Relationship Id="rId232" Type="http://schemas.openxmlformats.org/officeDocument/2006/relationships/hyperlink" Target="file:///\\OR00000PLZNT011\SSZT_PLZ-Intern&#237;\DOKLADY_K_ZA&#344;&#205;ZEN&#205;\Protokoly_k_za&#345;&#237;zen&#237;\717C_Sta&#328;kov-Pob&#283;&#382;ovice\PZS%20km%208,853" TargetMode="External"/><Relationship Id="rId274" Type="http://schemas.openxmlformats.org/officeDocument/2006/relationships/hyperlink" Target="file:///\\OR00000PLZNT011\SSZT_PLZ-Intern&#237;\DOKLADY_K_ZA&#344;&#205;ZEN&#205;\Protokoly_k_za&#345;&#237;zen&#237;\717A_Doma&#382;lice-Plan&#225;\PZS%20km%205,895" TargetMode="External"/><Relationship Id="rId27" Type="http://schemas.openxmlformats.org/officeDocument/2006/relationships/hyperlink" Target="file:///\\OR00000PLZNT011\SSZT_PLZ-Intern&#237;\DOKLADY_K_ZA&#344;&#205;ZEN&#205;\Protokoly_k_za&#345;&#237;zen&#237;\712A_Vejprnice-&#268;.Kubice\PZS%20km%20156,256" TargetMode="External"/><Relationship Id="rId69" Type="http://schemas.openxmlformats.org/officeDocument/2006/relationships/hyperlink" Target="file:///\\OR00000PLZNT011\SSZT_PLZ-Intern&#237;\DOKLADY_K_ZA&#344;&#205;ZEN&#205;\Protokoly_k_za&#345;&#237;zen&#237;\710B_Klatovy-Doma&#382;lice\TZZ%20Kdyn&#283;-Doma&#382;lice" TargetMode="External"/><Relationship Id="rId134" Type="http://schemas.openxmlformats.org/officeDocument/2006/relationships/hyperlink" Target="file:///\\OR00000PLZNT011\SSZT_PLZ-Intern&#237;\DOKLADY_K_ZA&#344;&#205;ZEN&#205;\Protokoly_k_za&#345;&#237;zen&#237;\719_Plze&#328;-&#381;atec\&#382;st.&#381;ihle" TargetMode="External"/><Relationship Id="rId80" Type="http://schemas.openxmlformats.org/officeDocument/2006/relationships/hyperlink" Target="file:///\\OR00000PLZNT011\SSZT_PLZ-Intern&#237;\DOKLADY_K_ZA&#344;&#205;ZEN&#205;\Protokoly_k_za&#345;&#237;zen&#237;\711_Plze&#328;-&#381;.Ruda\&#382;st.%20N&#253;rsko" TargetMode="External"/><Relationship Id="rId176" Type="http://schemas.openxmlformats.org/officeDocument/2006/relationships/hyperlink" Target="file:///\\OR00000PLZNT011\SSZT_PLZ-Intern&#237;\DOKLADY_K_ZA&#344;&#205;ZEN&#205;\Protokoly_k_za&#345;&#237;zen&#237;\717A_Doma&#382;lice-Plan&#225;\PZS%20km%2033,306" TargetMode="External"/><Relationship Id="rId341" Type="http://schemas.openxmlformats.org/officeDocument/2006/relationships/hyperlink" Target="file:///\\OR00000PLZNT011\SSZT_PLZ-Intern&#237;\DOKLADY_K_ZA&#344;&#205;ZEN&#205;\Protokoly_k_za&#345;&#237;zen&#237;\709B_Hora&#382;&#271;ovice_p&#345;.-Plze&#328;\&#382;st.%20Blovice" TargetMode="External"/><Relationship Id="rId383" Type="http://schemas.openxmlformats.org/officeDocument/2006/relationships/hyperlink" Target="file:///\\OR00000PLZNT011\SSZT_PLZ-Intern&#237;\DOKLADY_K_ZA&#344;&#205;ZEN&#205;\Protokoly_k_za&#345;&#237;zen&#237;\720_Plze&#328;-Cheb\PZS%20km%20408,864" TargetMode="External"/><Relationship Id="rId439" Type="http://schemas.openxmlformats.org/officeDocument/2006/relationships/hyperlink" Target="file:///\\OR00000PLZNT011\SSZT_PLZ-Intern&#237;\DOKLADY_K_ZA&#344;&#205;ZEN&#205;\Protokoly_k_za&#345;&#237;zen&#237;\710A_Hora&#382;&#271;ovice-Klatovy\&#382;st.%20Nemilkov" TargetMode="External"/><Relationship Id="rId201" Type="http://schemas.openxmlformats.org/officeDocument/2006/relationships/hyperlink" Target="file:///\\OR00000PLZNT011\SSZT_PLZ-Intern&#237;\DOKLADY_K_ZA&#344;&#205;ZEN&#205;\Protokoly_k_za&#345;&#237;zen&#237;\712A_Vejprnice-&#268;.Kubice\PZS%20km%20122,722" TargetMode="External"/><Relationship Id="rId243" Type="http://schemas.openxmlformats.org/officeDocument/2006/relationships/hyperlink" Target="file:///\\OR00000PLZNT011\SSZT_PLZ-Intern&#237;\DOKLADY_K_ZA&#344;&#205;ZEN&#205;\Protokoly_k_za&#345;&#237;zen&#237;\717B_Svoj&#353;&#237;n-Bor\PZS%20km%2012,020" TargetMode="External"/><Relationship Id="rId285" Type="http://schemas.openxmlformats.org/officeDocument/2006/relationships/hyperlink" Target="file:///\\OR00000PLZNT011\SSZT_PLZ-Intern&#237;\DOKLADY_K_ZA&#344;&#205;ZEN&#205;\Protokoly_k_za&#345;&#237;zen&#237;\710A_Hora&#382;&#271;ovice-Klatovy\PZS%20km%2047,084" TargetMode="External"/><Relationship Id="rId450" Type="http://schemas.openxmlformats.org/officeDocument/2006/relationships/hyperlink" Target="file:///\\OR00000PLZNT011\SSZT_PLZ-Intern&#237;\DOKLADY_K_ZA&#344;&#205;ZEN&#205;\Protokoly_k_za&#345;&#237;zen&#237;\709B_Hora&#382;&#271;ovice_p&#345;.-Plze&#328;\TZZ%20Koterov-St.%20Plzenec" TargetMode="External"/><Relationship Id="rId38" Type="http://schemas.openxmlformats.org/officeDocument/2006/relationships/hyperlink" Target="file:///\\OR00000PLZNT011\SSZT_PLZ-Intern&#237;\DOKLADY_K_ZA&#344;&#205;ZEN&#205;\Protokoly_k_za&#345;&#237;zen&#237;\719_Plze&#328;-&#381;atec\PZS%20km%20146,807" TargetMode="External"/><Relationship Id="rId103" Type="http://schemas.openxmlformats.org/officeDocument/2006/relationships/hyperlink" Target="file:///\\OR00000PLZNT011\SSZT_PLZ-Intern&#237;\DOKLADY_K_ZA&#344;&#205;ZEN&#205;\Protokoly_k_za&#345;&#237;zen&#237;\717A_Doma&#382;lice-Plan&#225;\PZS%20km%2075,081+11,242" TargetMode="External"/><Relationship Id="rId310" Type="http://schemas.openxmlformats.org/officeDocument/2006/relationships/hyperlink" Target="file:///\\OR00000PLZNT011\SSZT_PLZ-Intern&#237;\DOKLADY_K_ZA&#344;&#205;ZEN&#205;\Protokoly_k_za&#345;&#237;zen&#237;\711_Plze&#328;-&#381;.Ruda\PZS%20km%2052,373" TargetMode="External"/><Relationship Id="rId91" Type="http://schemas.openxmlformats.org/officeDocument/2006/relationships/hyperlink" Target="file:///\\OR00000PLZNT011\SSZT_PLZ-Intern&#237;\DOKLADY_K_ZA&#344;&#205;ZEN&#205;\Protokoly_k_za&#345;&#237;zen&#237;\712A_Vejprnice-&#268;.Kubice\&#382;st.%20Sta&#328;kov" TargetMode="External"/><Relationship Id="rId145" Type="http://schemas.openxmlformats.org/officeDocument/2006/relationships/hyperlink" Target="file:///\\OR00000PLZNT011\SSZT_PLZ-Intern&#237;\DOKLADY_K_ZA&#344;&#205;ZEN&#205;\Protokoly_k_za&#345;&#237;zen&#237;\717A_Doma&#382;lice-Plan&#225;\&#382;st.%20B&#283;l&#225;" TargetMode="External"/><Relationship Id="rId187" Type="http://schemas.openxmlformats.org/officeDocument/2006/relationships/hyperlink" Target="file:///\\OR00000PLZNT011\SSZT_PLZ-Intern&#237;\DOKLADY_K_ZA&#344;&#205;ZEN&#205;\Protokoly_k_za&#345;&#237;zen&#237;\714B_Ejpovice-Radnice\PZS%20km%2015,054" TargetMode="External"/><Relationship Id="rId352" Type="http://schemas.openxmlformats.org/officeDocument/2006/relationships/hyperlink" Target="file:///\\OR00000PLZNT011\SSZT_PLZ-Intern&#237;\DOKLADY_K_ZA&#344;&#205;ZEN&#205;\Protokoly_k_za&#345;&#237;zen&#237;\712A_Vejprnice-&#268;.Kubice\PZS%20km%20147,999" TargetMode="External"/><Relationship Id="rId394" Type="http://schemas.openxmlformats.org/officeDocument/2006/relationships/hyperlink" Target="file:///\\OR00000PLZNT011\SSZT_PLZ-Intern&#237;\DOKLADY_K_ZA&#344;&#205;ZEN&#205;\Protokoly_k_za&#345;&#237;zen&#237;\711_Plze&#328;-&#381;.Ruda\PZS%20km%2071,600" TargetMode="External"/><Relationship Id="rId408" Type="http://schemas.openxmlformats.org/officeDocument/2006/relationships/hyperlink" Target="file:///\\OR00000PLZNT011\SSZT_PLZ-Intern&#237;\DOKLADY_K_ZA&#344;&#205;ZEN&#205;\Protokoly_k_za&#345;&#237;zen&#237;\720_Plze&#328;-Cheb\&#382;st.%20Chodov&#225;%20Plan&#225;" TargetMode="External"/><Relationship Id="rId212" Type="http://schemas.openxmlformats.org/officeDocument/2006/relationships/hyperlink" Target="file:///\\OR00000PLZNT011\SSZT_PLZ-Intern&#237;\DOKLADY_K_ZA&#344;&#205;ZEN&#205;\Protokoly_k_za&#345;&#237;zen&#237;\713A_Plze&#328;-Zbiroh\TZZ%20Zbiroh-Ka&#345;&#237;zek" TargetMode="External"/><Relationship Id="rId254" Type="http://schemas.openxmlformats.org/officeDocument/2006/relationships/hyperlink" Target="file:///\\OR00000PLZNT011\SSZT_PLZ-Intern&#237;\DOKLADY_K_ZA&#344;&#205;ZEN&#205;\Protokoly_k_za&#345;&#237;zen&#237;\712A_Vejprnice-&#268;.Kubice\PZS%20km%20169,467" TargetMode="External"/><Relationship Id="rId49" Type="http://schemas.openxmlformats.org/officeDocument/2006/relationships/hyperlink" Target="file:///\\OR00000PLZNT011\SSZT_PLZ-Intern&#237;\DOKLADY_K_ZA&#344;&#205;ZEN&#205;\Protokoly_k_za&#345;&#237;zen&#237;\711_Plze&#328;-&#381;.Ruda\PZS%20km%2096,014" TargetMode="External"/><Relationship Id="rId114" Type="http://schemas.openxmlformats.org/officeDocument/2006/relationships/hyperlink" Target="file:///\\OR00000PLZNT011\SSZT_PLZ-Intern&#237;\DOKLADY_K_ZA&#344;&#205;ZEN&#205;\Protokoly_k_za&#345;&#237;zen&#237;\719_Plze&#328;-&#381;atec\&#382;st.Plasy" TargetMode="External"/><Relationship Id="rId296" Type="http://schemas.openxmlformats.org/officeDocument/2006/relationships/hyperlink" Target="file:///\\OR00000PLZNT011\SSZT_PLZ-Intern&#237;\DOKLADY_K_ZA&#344;&#205;ZEN&#205;\Protokoly_k_za&#345;&#237;zen&#237;\712A_Vejprnice-&#268;.Kubice\PZS%20km%20180,640" TargetMode="External"/><Relationship Id="rId461" Type="http://schemas.openxmlformats.org/officeDocument/2006/relationships/hyperlink" Target="file:///\\OR00000PLZNT011\SSZT_PLZ-Intern&#237;\DOKLADY_K_ZA&#344;&#205;ZEN&#205;\Protokoly_k_za&#345;&#237;zen&#237;\719_Plze&#328;-&#381;atec\&#382;st.Horn&#237;%20B&#345;&#237;za" TargetMode="External"/><Relationship Id="rId60" Type="http://schemas.openxmlformats.org/officeDocument/2006/relationships/hyperlink" Target="file:///\\OR00000PLZNT011\SSZT_PLZ-Intern&#237;\DOKLADY_K_ZA&#344;&#205;ZEN&#205;\Protokoly_k_za&#345;&#237;zen&#237;\711_Plze&#328;-&#381;.Ruda\&#382;st.%20&#381;elezn&#225;%20Ruda%20-%20Al&#382;b&#283;t&#237;n" TargetMode="External"/><Relationship Id="rId156" Type="http://schemas.openxmlformats.org/officeDocument/2006/relationships/hyperlink" Target="file:///\\OR00000PLZNT011\SSZT_PLZ-Intern&#237;\DOKLADY_K_ZA&#344;&#205;ZEN&#205;\Protokoly_k_za&#345;&#237;zen&#237;\714A_Rokycany-Nezv&#283;stice\Rokycany-Miro&#353;ov\PZS_km_6,262%20P1221" TargetMode="External"/><Relationship Id="rId198" Type="http://schemas.openxmlformats.org/officeDocument/2006/relationships/hyperlink" Target="file:///\\OR00000PLZNT011\SSZT_PLZ-Intern&#237;\DOKLADY_K_ZA&#344;&#205;ZEN&#205;\Protokoly_k_za&#345;&#237;zen&#237;\709B_Hora&#382;&#271;ovice_p&#345;.-Plze&#328;\PZS%20km%20317,232" TargetMode="External"/><Relationship Id="rId321" Type="http://schemas.openxmlformats.org/officeDocument/2006/relationships/hyperlink" Target="file:///\\OR00000PLZNT011\SSZT_PLZ-Intern&#237;\DOKLADY_K_ZA&#344;&#205;ZEN&#205;\Protokoly_k_za&#345;&#237;zen&#237;\710A_Hora&#382;&#271;ovice-Klatovy\PZS%20km%2018,557" TargetMode="External"/><Relationship Id="rId363" Type="http://schemas.openxmlformats.org/officeDocument/2006/relationships/hyperlink" Target="file:///\\OR00000PLZNT011\SSZT_PLZ-Intern&#237;\DOKLADY_K_ZA&#344;&#205;ZEN&#205;\Protokoly_k_za&#345;&#237;zen&#237;\709B_Hora&#382;&#271;ovice_p&#345;.-Plze&#328;\&#382;st.%20Star&#253;%20Plzenec" TargetMode="External"/><Relationship Id="rId419" Type="http://schemas.openxmlformats.org/officeDocument/2006/relationships/hyperlink" Target="file:///\\OR00000PLZNT011\SSZT_PLZ-Intern&#237;\DOKLADY_K_ZA&#344;&#205;ZEN&#205;\Protokoly_k_za&#345;&#237;zen&#237;\711_Plze&#328;-&#381;.Ruda\&#382;st.%20Plze&#328;%20Valcha" TargetMode="External"/><Relationship Id="rId223" Type="http://schemas.openxmlformats.org/officeDocument/2006/relationships/hyperlink" Target="file:///\\OR00000PLZNT011\SSZT_PLZ-Intern&#237;\DOKLADY_K_ZA&#344;&#205;ZEN&#205;\Protokoly_k_za&#345;&#237;zen&#237;\711_Plze&#328;-&#381;.Ruda\PZS%20km%2059,381" TargetMode="External"/><Relationship Id="rId430" Type="http://schemas.openxmlformats.org/officeDocument/2006/relationships/hyperlink" Target="file:///\\OR00000PLZNT011\SSZT_PLZ-Intern&#237;\DOKLADY_K_ZA&#344;&#205;ZEN&#205;\Protokoly_k_za&#345;&#237;zen&#237;\710A_Hora&#382;&#271;ovice-Klatovy\PZS%20km%2040,738" TargetMode="External"/><Relationship Id="rId18" Type="http://schemas.openxmlformats.org/officeDocument/2006/relationships/hyperlink" Target="file:///\\OR00000PLZNT011\SSZT_PLZ-Intern&#237;\DOKLADY_K_ZA&#344;&#205;ZEN&#205;\Protokoly_k_za&#345;&#237;zen&#237;\719_Plze&#328;-&#381;atec\PZS%20km%20153,054" TargetMode="External"/><Relationship Id="rId265" Type="http://schemas.openxmlformats.org/officeDocument/2006/relationships/hyperlink" Target="file:///\\OR00000PLZNT011\SSZT_PLZ-Intern&#237;\DOKLADY_K_ZA&#344;&#205;ZEN&#205;\Protokoly_k_za&#345;&#237;zen&#237;\709B_Hora&#382;&#271;ovice_p&#345;.-Plze&#328;\PZS%20km%20323,278" TargetMode="External"/><Relationship Id="rId472" Type="http://schemas.openxmlformats.org/officeDocument/2006/relationships/hyperlink" Target="file:///\\OR00000PLZNT011\SSZT_PLZ-Intern&#237;\DOKLADY_K_ZA&#344;&#205;ZEN&#205;\Protokoly_k_za&#345;&#237;zen&#237;\709B_Hora&#382;&#271;ovice_p&#345;.-Plze&#328;\&#382;st.%20&#381;d&#237;rec%20u%20Plzn&#283;" TargetMode="External"/><Relationship Id="rId125" Type="http://schemas.openxmlformats.org/officeDocument/2006/relationships/hyperlink" Target="file:///\\OR00000PLZNT011\SSZT_PLZ-Intern&#237;\DOKLADY_K_ZA&#344;&#205;ZEN&#205;\Protokoly_k_za&#345;&#237;zen&#237;\713A_Plze&#328;-Zbiroh\TZZ%20Holoubkov-Rokycany" TargetMode="External"/><Relationship Id="rId167" Type="http://schemas.openxmlformats.org/officeDocument/2006/relationships/hyperlink" Target="file:///\\OR00000PLZNT011\SSZT_PLZ-Intern&#237;\DOKLADY_K_ZA&#344;&#205;ZEN&#205;\Protokoly_k_za&#345;&#237;zen&#237;\714A_Rokycany-Nezv&#283;stice\&#381;st.%20P&#345;&#237;kosice" TargetMode="External"/><Relationship Id="rId332" Type="http://schemas.openxmlformats.org/officeDocument/2006/relationships/hyperlink" Target="file:///\\OR00000PLZNT011\SSZT_PLZ-Intern&#237;\DOKLADY_K_ZA&#344;&#205;ZEN&#205;\Protokoly_k_za&#345;&#237;zen&#237;\712A_Vejprnice-&#268;.Kubice\PZS%20km%20160,231" TargetMode="External"/><Relationship Id="rId374" Type="http://schemas.openxmlformats.org/officeDocument/2006/relationships/hyperlink" Target="file:///\\OR00000PLZNT011\SSZT_PLZ-Intern&#237;\DOKLADY_K_ZA&#344;&#205;ZEN&#205;\Protokoly_k_za&#345;&#237;zen&#237;\719_Plze&#328;-&#381;atec\PZS%20km%2017,512" TargetMode="External"/><Relationship Id="rId71" Type="http://schemas.openxmlformats.org/officeDocument/2006/relationships/hyperlink" Target="file:///\\OR00000PLZNT011\SSZT_PLZ-Intern&#237;\DOKLADY_K_ZA&#344;&#205;ZEN&#205;\Protokoly_k_za&#345;&#237;zen&#237;\711_Plze&#328;-&#381;.Ruda\&#382;st.%20Hamry%20Hojsova%20Str&#225;&#382;" TargetMode="External"/><Relationship Id="rId234" Type="http://schemas.openxmlformats.org/officeDocument/2006/relationships/hyperlink" Target="file:///\\OR00000PLZNT011\SSZT_PLZ-Intern&#237;\DOKLADY_K_ZA&#344;&#205;ZEN&#205;\Protokoly_k_za&#345;&#237;zen&#237;\714A_Rokycany-Nezv&#283;stice\Rokycany-Miro&#353;ov\PZS_km_0,348%20(0,331)" TargetMode="External"/><Relationship Id="rId2" Type="http://schemas.openxmlformats.org/officeDocument/2006/relationships/hyperlink" Target="file:///\\OR00000PLZNT011\SSZT_PLZ-Intern&#237;\DOKLADY_K_ZA&#344;&#205;ZEN&#205;\Protokoly_k_za&#345;&#237;zen&#237;\709B_Hora&#382;&#271;ovice_p&#345;.-Plze&#328;\PZS%20km%20334,234" TargetMode="External"/><Relationship Id="rId29" Type="http://schemas.openxmlformats.org/officeDocument/2006/relationships/hyperlink" Target="file:///\\OR00000PLZNT011\SSZT_PLZ-Intern&#237;\DOKLADY_K_ZA&#344;&#205;ZEN&#205;\Protokoly_k_za&#345;&#237;zen&#237;\719_Plze&#328;-&#381;atec\PZS%20km%20137,775" TargetMode="External"/><Relationship Id="rId276" Type="http://schemas.openxmlformats.org/officeDocument/2006/relationships/hyperlink" Target="file:///\\OR00000PLZNT011\SSZT_PLZ-Intern&#237;\DOKLADY_K_ZA&#344;&#205;ZEN&#205;\Protokoly_k_za&#345;&#237;zen&#237;\717A_Doma&#382;lice-Plan&#225;\PZS%20km%209,563" TargetMode="External"/><Relationship Id="rId441" Type="http://schemas.openxmlformats.org/officeDocument/2006/relationships/hyperlink" Target="file:///\\OR00000PLZNT011\SSZT_PLZ-Intern&#237;\DOKLADY_K_ZA&#344;&#205;ZEN&#205;\Protokoly_k_za&#345;&#237;zen&#237;\711_Plze&#328;-&#381;.Ruda\&#382;st.%20P&#345;e&#353;tice" TargetMode="External"/><Relationship Id="rId40" Type="http://schemas.openxmlformats.org/officeDocument/2006/relationships/hyperlink" Target="file:///\\OR00000PLZNT011\SSZT_PLZ-Intern&#237;\DOKLADY_K_ZA&#344;&#205;ZEN&#205;\Protokoly_k_za&#345;&#237;zen&#237;\714B_Ejpovice-Radnice\PZS%20km%2012,637" TargetMode="External"/><Relationship Id="rId136" Type="http://schemas.openxmlformats.org/officeDocument/2006/relationships/hyperlink" Target="file:///\\OR00000PLZNT011\SSZT_PLZ-Intern&#237;\DOKLADY_K_ZA&#344;&#205;ZEN&#205;\Protokoly_k_za&#345;&#237;zen&#237;\719_Plze&#328;-&#381;atec\&#382;st.Kazn&#283;jov" TargetMode="External"/><Relationship Id="rId178" Type="http://schemas.openxmlformats.org/officeDocument/2006/relationships/hyperlink" Target="file:///\\OR00000PLZNT011\SSZT_PLZ-Intern&#237;\DOKLADY_K_ZA&#344;&#205;ZEN&#205;\Protokoly_k_za&#345;&#237;zen&#237;\711_Plze&#328;-&#381;.Ruda\PZS%20km%2079,834" TargetMode="External"/><Relationship Id="rId301" Type="http://schemas.openxmlformats.org/officeDocument/2006/relationships/hyperlink" Target="file:///\\OR00000PLZNT011\SSZT_PLZ-Intern&#237;\DOKLADY_K_ZA&#344;&#205;ZEN&#205;\Protokoly_k_za&#345;&#237;zen&#237;\714A_Rokycany-Nezv&#283;stice\P&#345;&#237;kosice-Nezv&#283;stice\PZS%20km%2020,518" TargetMode="External"/><Relationship Id="rId343" Type="http://schemas.openxmlformats.org/officeDocument/2006/relationships/hyperlink" Target="file:///\\OR00000PLZNT011\SSZT_PLZ-Intern&#237;\DOKLADY_K_ZA&#344;&#205;ZEN&#205;\Protokoly_k_za&#345;&#237;zen&#237;\709B_Hora&#382;&#271;ovice_p&#345;.-Plze&#328;\TZZ%20Blovice-&#381;d&#237;rec" TargetMode="External"/><Relationship Id="rId82" Type="http://schemas.openxmlformats.org/officeDocument/2006/relationships/hyperlink" Target="file:///\\OR00000PLZNT011\SSZT_PLZ-Intern&#237;\DOKLADY_K_ZA&#344;&#205;ZEN&#205;\Protokoly_k_za&#345;&#237;zen&#237;\711_Plze&#328;-&#381;.Ruda\PZS%20km%2034,698" TargetMode="External"/><Relationship Id="rId203" Type="http://schemas.openxmlformats.org/officeDocument/2006/relationships/hyperlink" Target="file:///\\OR00000PLZNT011\SSZT_PLZ-Intern&#237;\DOKLADY_K_ZA&#344;&#205;ZEN&#205;\Protokoly_k_za&#345;&#237;zen&#237;\709B_Hora&#382;&#271;ovice_p&#345;.-Plze&#328;\PZS%20km%20313,375" TargetMode="External"/><Relationship Id="rId385" Type="http://schemas.openxmlformats.org/officeDocument/2006/relationships/hyperlink" Target="file:///\\OR00000PLZNT011\SSZT_PLZ-Intern&#237;\DOKLADY_K_ZA&#344;&#205;ZEN&#205;\Protokoly_k_za&#345;&#237;zen&#237;\720_Plze&#328;-Cheb\TZZ%20Brod-Plan&#225;" TargetMode="External"/><Relationship Id="rId245" Type="http://schemas.openxmlformats.org/officeDocument/2006/relationships/hyperlink" Target="file:///\\OR00000PLZNT011\SSZT_PLZ-Intern&#237;\DOKLADY_K_ZA&#344;&#205;ZEN&#205;\Protokoly_k_za&#345;&#237;zen&#237;\710A_Hora&#382;&#271;ovice-Klatovy\PZS%20km%202,882" TargetMode="External"/><Relationship Id="rId287" Type="http://schemas.openxmlformats.org/officeDocument/2006/relationships/hyperlink" Target="file:///\\OR00000PLZNT011\SSZT_PLZ-Intern&#237;\DOKLADY_K_ZA&#344;&#205;ZEN&#205;\Protokoly_k_za&#345;&#237;zen&#237;\719_Plze&#328;-&#381;atec\PZS%20km%2026,539" TargetMode="External"/><Relationship Id="rId410" Type="http://schemas.openxmlformats.org/officeDocument/2006/relationships/hyperlink" Target="file:///\\OR00000PLZNT011\SSZT_PLZ-Intern&#237;\DOKLADY_K_ZA&#344;&#205;ZEN&#205;\Protokoly_k_za&#345;&#237;zen&#237;\710A_Hora&#382;&#271;ovice-Klatovy\&#382;st.%20Su&#353;ice" TargetMode="External"/><Relationship Id="rId452" Type="http://schemas.openxmlformats.org/officeDocument/2006/relationships/hyperlink" Target="file:///\\OR00000PLZNT011\SSZT_PLZ-Intern&#237;\DOKLADY_K_ZA&#344;&#205;ZEN&#205;\Protokoly_k_za&#345;&#237;zen&#237;\710A_Hora&#382;&#271;ovice-Klatovy\PZS%20km%2026,505" TargetMode="External"/><Relationship Id="rId105" Type="http://schemas.openxmlformats.org/officeDocument/2006/relationships/hyperlink" Target="file:///\\OR00000PLZNT011\SSZT_PLZ-Intern&#237;\DOKLADY_K_ZA&#344;&#205;ZEN&#205;\Protokoly_k_za&#345;&#237;zen&#237;\712A_Vejprnice-&#268;.Kubice\v&#253;h.%20Chot&#283;&#353;ov" TargetMode="External"/><Relationship Id="rId147" Type="http://schemas.openxmlformats.org/officeDocument/2006/relationships/hyperlink" Target="file:///\\OR00000PLZNT011\SSZT_PLZ-Intern&#237;\DOKLADY_K_ZA&#344;&#205;ZEN&#205;\Protokoly_k_za&#345;&#237;zen&#237;\720_Plze&#328;-Cheb\&#382;st.%20K&#345;imice" TargetMode="External"/><Relationship Id="rId312" Type="http://schemas.openxmlformats.org/officeDocument/2006/relationships/hyperlink" Target="file:///\\OR00000PLZNT011\SSZT_PLZ-Intern&#237;\DOKLADY_K_ZA&#344;&#205;ZEN&#205;\Protokoly_k_za&#345;&#237;zen&#237;\712A_Vejprnice-&#268;.Kubice\&#382;st.%20N&#253;&#345;any" TargetMode="External"/><Relationship Id="rId354" Type="http://schemas.openxmlformats.org/officeDocument/2006/relationships/hyperlink" Target="file:///\\OR00000PLZNT011\SSZT_PLZ-Intern&#237;\DOKLADY_K_ZA&#344;&#205;ZEN&#205;\Protokoly_k_za&#345;&#237;zen&#237;\712A_Vejprnice-&#268;.Kubice\PZS%20km%20148,471" TargetMode="External"/><Relationship Id="rId51" Type="http://schemas.openxmlformats.org/officeDocument/2006/relationships/hyperlink" Target="file:///\\OR00000PLZNT011\SSZT_PLZ-Intern&#237;\DOKLADY_K_ZA&#344;&#205;ZEN&#205;\Protokoly_k_za&#345;&#237;zen&#237;\710A_Hora&#382;&#271;ovice-Klatovy\&#382;st.%20&#381;ichovice" TargetMode="External"/><Relationship Id="rId72" Type="http://schemas.openxmlformats.org/officeDocument/2006/relationships/hyperlink" Target="file:///\\OR00000PLZNT011\SSZT_PLZ-Intern&#237;\DOKLADY_K_ZA&#344;&#205;ZEN&#205;\Protokoly_k_za&#345;&#237;zen&#237;\711_Plze&#328;-&#381;.Ruda\&#382;st.%20Hamry%20Hojsova%20Str&#225;&#382;" TargetMode="External"/><Relationship Id="rId93" Type="http://schemas.openxmlformats.org/officeDocument/2006/relationships/hyperlink" Target="file:///\\OR00000PLZNT011\SSZT_PLZ-Intern&#237;\DOKLADY_K_ZA&#344;&#205;ZEN&#205;\Protokoly_k_za&#345;&#237;zen&#237;\712A_Vejprnice-&#268;.Kubice\PZS%20km%20153,067" TargetMode="External"/><Relationship Id="rId189" Type="http://schemas.openxmlformats.org/officeDocument/2006/relationships/hyperlink" Target="file:///\\OR00000PLZNT011\SSZT_PLZ-Intern&#237;\DOKLADY_K_ZA&#344;&#205;ZEN&#205;\Protokoly_k_za&#345;&#237;zen&#237;\711_Plze&#328;-&#381;.Ruda\PZS%20km%2054,196" TargetMode="External"/><Relationship Id="rId375" Type="http://schemas.openxmlformats.org/officeDocument/2006/relationships/hyperlink" Target="file:///\\OR00000PLZNT011\SSZT_PLZ-Intern&#237;\DOKLADY_K_ZA&#344;&#205;ZEN&#205;\Protokoly_k_za&#345;&#237;zen&#237;\719_Plze&#328;-&#381;atec\&#382;st.Horn&#237;%20B&#345;&#237;za" TargetMode="External"/><Relationship Id="rId396" Type="http://schemas.openxmlformats.org/officeDocument/2006/relationships/hyperlink" Target="file:///\\OR00000PLZNT011\SSZT_PLZ-Intern&#237;\DOKLADY_K_ZA&#344;&#205;ZEN&#205;\Protokoly_k_za&#345;&#237;zen&#237;\711_Plze&#328;-&#381;.Ruda\&#382;st.%20Chlum&#269;any" TargetMode="External"/><Relationship Id="rId3" Type="http://schemas.openxmlformats.org/officeDocument/2006/relationships/hyperlink" Target="file:///\\OR00000PLZNT011\SSZT_PLZ-Intern&#237;\DOKLADY_K_ZA&#344;&#205;ZEN&#205;\Protokoly_k_za&#345;&#237;zen&#237;\709B_Hora&#382;&#271;ovice_p&#345;.-Plze&#328;\PZS%20km%20336,111" TargetMode="External"/><Relationship Id="rId214" Type="http://schemas.openxmlformats.org/officeDocument/2006/relationships/hyperlink" Target="file:///\\OR00000PLZNT011\SSZT_PLZ-Intern&#237;\DOKLADY_K_ZA&#344;&#205;ZEN&#205;\Protokoly_k_za&#345;&#237;zen&#237;\713A_Plze&#328;-Zbiroh\n&#225;kl.%20Zbiroh" TargetMode="External"/><Relationship Id="rId235" Type="http://schemas.openxmlformats.org/officeDocument/2006/relationships/hyperlink" Target="file:///\\OR00000PLZNT011\SSZT_PLZ-Intern&#237;\DOKLADY_K_ZA&#344;&#205;ZEN&#205;\Protokoly_k_za&#345;&#237;zen&#237;\714A_Rokycany-Nezv&#283;stice\Rokycany-Miro&#353;ov\PZS_km_3,892" TargetMode="External"/><Relationship Id="rId256" Type="http://schemas.openxmlformats.org/officeDocument/2006/relationships/hyperlink" Target="file:///\\OR00000PLZNT011\SSZT_PLZ-Intern&#237;\DOKLADY_K_ZA&#344;&#205;ZEN&#205;\Protokoly_k_za&#345;&#237;zen&#237;\711_Plze&#328;-&#381;.Ruda\&#382;st.%20Klatovy" TargetMode="External"/><Relationship Id="rId277" Type="http://schemas.openxmlformats.org/officeDocument/2006/relationships/hyperlink" Target="file:///\\OR00000PLZNT011\SSZT_PLZ-Intern&#237;\DOKLADY_K_ZA&#344;&#205;ZEN&#205;\Protokoly_k_za&#345;&#237;zen&#237;\717A_Doma&#382;lice-Plan&#225;\PZS%20km%2010,712" TargetMode="External"/><Relationship Id="rId298" Type="http://schemas.openxmlformats.org/officeDocument/2006/relationships/hyperlink" Target="file:///\\OR00000PLZNT011\SSZT_PLZ-Intern&#237;\DOKLADY_K_ZA&#344;&#205;ZEN&#205;\Protokoly_k_za&#345;&#237;zen&#237;\714A_Rokycany-Nezv&#283;stice\P&#345;&#237;kosice-Nezv&#283;stice\PZS%20km%2015,050" TargetMode="External"/><Relationship Id="rId400" Type="http://schemas.openxmlformats.org/officeDocument/2006/relationships/hyperlink" Target="file:///\\OR00000PLZNT011\SSZT_PLZ-Intern&#237;\DOKLADY_K_ZA&#344;&#205;ZEN&#205;\Protokoly_k_za&#345;&#237;zen&#237;\712A_Vejprnice-&#268;.Kubice\PZS%20km%20127,885" TargetMode="External"/><Relationship Id="rId421" Type="http://schemas.openxmlformats.org/officeDocument/2006/relationships/hyperlink" Target="file:///\\OR00000PLZNT011\SSZT_PLZ-Intern&#237;\DOKLADY_K_ZA&#344;&#205;ZEN&#205;\Protokoly_k_za&#345;&#237;zen&#237;\714B_Ejpovice-Radnice\PZS%20km%2019,373" TargetMode="External"/><Relationship Id="rId442" Type="http://schemas.openxmlformats.org/officeDocument/2006/relationships/hyperlink" Target="file:///\\OR00000PLZNT011\SSZT_PLZ-Intern&#237;\DOKLADY_K_ZA&#344;&#205;ZEN&#205;\Protokoly_k_za&#345;&#237;zen&#237;\711_Plze&#328;-&#381;.Ruda\&#382;st.%20&#352;vihov" TargetMode="External"/><Relationship Id="rId463" Type="http://schemas.openxmlformats.org/officeDocument/2006/relationships/hyperlink" Target="file:///\\OR00000PLZNT011\SSZT_PLZ-Intern&#237;\DOKLADY_K_ZA&#344;&#205;ZEN&#205;\Protokoly_k_za&#345;&#237;zen&#237;\713A_Plze&#328;-Zbiroh\&#382;st.%20Holoubkov" TargetMode="External"/><Relationship Id="rId116" Type="http://schemas.openxmlformats.org/officeDocument/2006/relationships/hyperlink" Target="file:///\\OR00000PLZNT011\SSZT_PLZ-Intern&#237;\DOKLADY_K_ZA&#344;&#205;ZEN&#205;\Protokoly_k_za&#345;&#237;zen&#237;\712A_Vejprnice-&#268;.Kubice\PZS%20km%20120,593+120,627" TargetMode="External"/><Relationship Id="rId137" Type="http://schemas.openxmlformats.org/officeDocument/2006/relationships/hyperlink" Target="file:///\\OR00000PLZNT011\SSZT_PLZ-Intern&#237;\DOKLADY_K_ZA&#344;&#205;ZEN&#205;\Protokoly_k_za&#345;&#237;zen&#237;\719_Plze&#328;-&#381;atec\&#382;st.Kazn&#283;jov" TargetMode="External"/><Relationship Id="rId158" Type="http://schemas.openxmlformats.org/officeDocument/2006/relationships/hyperlink" Target="file:///\\OR00000PLZNT011\SSZT_PLZ-Intern&#237;\DOKLADY_K_ZA&#344;&#205;ZEN&#205;\Protokoly_k_za&#345;&#237;zen&#237;\714A_Rokycany-Nezv&#283;stice\Rokycany-Miro&#353;ov\PZS_km_7,100%20P1223" TargetMode="External"/><Relationship Id="rId302" Type="http://schemas.openxmlformats.org/officeDocument/2006/relationships/hyperlink" Target="file:///\\OR00000PLZNT011\SSZT_PLZ-Intern&#237;\DOKLADY_K_ZA&#344;&#205;ZEN&#205;\Protokoly_k_za&#345;&#237;zen&#237;\720_Plze&#328;-Cheb\TZZ%20Plze&#328;_Ji&#382;n&#237;_p&#345;.-K&#345;imice" TargetMode="External"/><Relationship Id="rId323" Type="http://schemas.openxmlformats.org/officeDocument/2006/relationships/hyperlink" Target="file:///\\OR00000PLZNT011\SSZT_PLZ-Intern&#237;\DOKLADY_K_ZA&#344;&#205;ZEN&#205;\Protokoly_k_za&#345;&#237;zen&#237;\713A_Plze&#328;-Zbiroh\TZZ%20Ejpovice-Plze&#328;" TargetMode="External"/><Relationship Id="rId344" Type="http://schemas.openxmlformats.org/officeDocument/2006/relationships/hyperlink" Target="file:///\\OR00000PLZNT011\SSZT_PLZ-Intern&#237;\DOKLADY_K_ZA&#344;&#205;ZEN&#205;\Protokoly_k_za&#345;&#237;zen&#237;\717A_Doma&#382;lice-Plan&#225;\PZS%20km%2011,495" TargetMode="External"/><Relationship Id="rId20" Type="http://schemas.openxmlformats.org/officeDocument/2006/relationships/hyperlink" Target="file:///\\OR00000PLZNT011\SSZT_PLZ-Intern&#237;\DOKLADY_K_ZA&#344;&#205;ZEN&#205;\Protokoly_k_za&#345;&#237;zen&#237;\719_Plze&#328;-&#381;atec\PZS%20km%2032,144" TargetMode="External"/><Relationship Id="rId41" Type="http://schemas.openxmlformats.org/officeDocument/2006/relationships/hyperlink" Target="file:///\\OR00000PLZNT011\SSZT_PLZ-Intern&#237;\DOKLADY_K_ZA&#344;&#205;ZEN&#205;\Protokoly_k_za&#345;&#237;zen&#237;\714B_Ejpovice-Radnice\PZS%20km%2012,846" TargetMode="External"/><Relationship Id="rId62" Type="http://schemas.openxmlformats.org/officeDocument/2006/relationships/hyperlink" Target="file:///\\OR00000PLZNT011\SSZT_PLZ-Intern&#237;\DOKLADY_K_ZA&#344;&#205;ZEN&#205;\Protokoly_k_za&#345;&#237;zen&#237;\711_Plze&#328;-&#381;.Ruda\&#382;st.%20Zelen&#225;%20Lhota" TargetMode="External"/><Relationship Id="rId83" Type="http://schemas.openxmlformats.org/officeDocument/2006/relationships/hyperlink" Target="file:///\\OR00000PLZNT011\SSZT_PLZ-Intern&#237;\DOKLADY_K_ZA&#344;&#205;ZEN&#205;\Protokoly_k_za&#345;&#237;zen&#237;\709B_Hora&#382;&#271;ovice_p&#345;.-Plze&#328;\PZS%20km%20304,121" TargetMode="External"/><Relationship Id="rId179" Type="http://schemas.openxmlformats.org/officeDocument/2006/relationships/hyperlink" Target="file:///\\OR00000PLZNT011\SSZT_PLZ-Intern&#237;\DOKLADY_K_ZA&#344;&#205;ZEN&#205;\Protokoly_k_za&#345;&#237;zen&#237;\Uzel_Plze&#328;\Plze&#328;%20se&#345;.n" TargetMode="External"/><Relationship Id="rId365" Type="http://schemas.openxmlformats.org/officeDocument/2006/relationships/hyperlink" Target="file:///\\OR00000PLZNT011\SSZT_PLZ-Intern&#237;\DOKLADY_K_ZA&#344;&#205;ZEN&#205;\Protokoly_k_za&#345;&#237;zen&#237;\709B_Hora&#382;&#271;ovice_p&#345;.-Plze&#328;\TZZ%20Star&#253;%20Plzenec-Nezv&#283;stice" TargetMode="External"/><Relationship Id="rId386" Type="http://schemas.openxmlformats.org/officeDocument/2006/relationships/hyperlink" Target="file:///\\OR00000PLZNT011\SSZT_PLZ-Intern&#237;\DOKLADY_K_ZA&#344;&#205;ZEN&#205;\Protokoly_k_za&#345;&#237;zen&#237;\720_Plze&#328;-Cheb\&#382;st.%20Brod%20nad%20Tichou" TargetMode="External"/><Relationship Id="rId190" Type="http://schemas.openxmlformats.org/officeDocument/2006/relationships/hyperlink" Target="file:///\\OR00000PLZNT011\SSZT_PLZ-Intern&#237;\DOKLADY_K_ZA&#344;&#205;ZEN&#205;\Protokoly_k_za&#345;&#237;zen&#237;\719_Plze&#328;-&#381;atec\PZS%20km%20150,196" TargetMode="External"/><Relationship Id="rId204" Type="http://schemas.openxmlformats.org/officeDocument/2006/relationships/hyperlink" Target="file:///\\OR00000PLZNT011\SSZT_PLZ-Intern&#237;\DOKLADY_K_ZA&#344;&#205;ZEN&#205;\Protokoly_k_za&#345;&#237;zen&#237;\714A_Rokycany-Nezv&#283;stice\P&#345;&#237;kosice-Nezv&#283;stice\PZS%20km%2021,176" TargetMode="External"/><Relationship Id="rId225" Type="http://schemas.openxmlformats.org/officeDocument/2006/relationships/hyperlink" Target="file:///\\OR00000PLZNT011\SSZT_PLZ-Intern&#237;\DOKLADY_K_ZA&#344;&#205;ZEN&#205;\Protokoly_k_za&#345;&#237;zen&#237;\717A_Doma&#382;lice-Plan&#225;\PZS%20km%2071,823" TargetMode="External"/><Relationship Id="rId246" Type="http://schemas.openxmlformats.org/officeDocument/2006/relationships/hyperlink" Target="file:///\\OR00000PLZNT011\SSZT_PLZ-Intern&#237;\DOKLADY_K_ZA&#344;&#205;ZEN&#205;\Protokoly_k_za&#345;&#237;zen&#237;\710B_Klatovy-Doma&#382;lice\&#382;st.%20Pocinovice" TargetMode="External"/><Relationship Id="rId267" Type="http://schemas.openxmlformats.org/officeDocument/2006/relationships/hyperlink" Target="file:///\\OR00000PLZNT011\SSZT_PLZ-Intern&#237;\DOKLADY_K_ZA&#344;&#205;ZEN&#205;\Protokoly_k_za&#345;&#237;zen&#237;\720_Plze&#328;-Cheb\PZS%20km%20378,102" TargetMode="External"/><Relationship Id="rId288" Type="http://schemas.openxmlformats.org/officeDocument/2006/relationships/hyperlink" Target="file:///\\OR00000PLZNT011\SSZT_PLZ-Intern&#237;\DOKLADY_K_ZA&#344;&#205;ZEN&#205;\Protokoly_k_za&#345;&#237;zen&#237;\719_Plze&#328;-&#381;atec\PZS%20km%20142,697" TargetMode="External"/><Relationship Id="rId411" Type="http://schemas.openxmlformats.org/officeDocument/2006/relationships/hyperlink" Target="file:///\\OR00000PLZNT011\SSZT_PLZ-Intern&#237;\DOKLADY_K_ZA&#344;&#205;ZEN&#205;\Protokoly_k_za&#345;&#237;zen&#237;\710A_Hora&#382;&#271;ovice-Klatovy\&#382;st.%20Nemilkov" TargetMode="External"/><Relationship Id="rId432" Type="http://schemas.openxmlformats.org/officeDocument/2006/relationships/hyperlink" Target="file:///\\OR00000PLZNT011\SSZT_PLZ-Intern&#237;\DOKLADY_K_ZA&#344;&#205;ZEN&#205;\Protokoly_k_za&#345;&#237;zen&#237;\710A_Hora&#382;&#271;ovice-Klatovy\PZS%20km%2043,369" TargetMode="External"/><Relationship Id="rId453" Type="http://schemas.openxmlformats.org/officeDocument/2006/relationships/hyperlink" Target="file:///\\OR00000PLZNT011\SSZT_PLZ-Intern&#237;\DOKLADY_K_ZA&#344;&#205;ZEN&#205;\Protokoly_k_za&#345;&#237;zen&#237;\713A_Plze&#328;-Zbiroh\TZZ%20Ejpovice-Plze&#328;" TargetMode="External"/><Relationship Id="rId474" Type="http://schemas.openxmlformats.org/officeDocument/2006/relationships/hyperlink" Target="file:///\\OR00000PLZNT011\SSZT_PLZ-Intern&#237;\DOKLADY_K_ZA&#344;&#205;ZEN&#205;\Protokoly_k_za&#345;&#237;zen&#237;\720_Plze&#328;-Cheb\PZS%20km%20422,920" TargetMode="External"/><Relationship Id="rId106" Type="http://schemas.openxmlformats.org/officeDocument/2006/relationships/hyperlink" Target="file:///\\OR00000PLZNT011\SSZT_PLZ-Intern&#237;\DOKLADY_K_ZA&#344;&#205;ZEN&#205;\Protokoly_k_za&#345;&#237;zen&#237;\712A_Vejprnice-&#268;.Kubice\&#382;st.%20Stod" TargetMode="External"/><Relationship Id="rId127" Type="http://schemas.openxmlformats.org/officeDocument/2006/relationships/hyperlink" Target="file:///\\OR00000PLZNT011\SSZT_PLZ-Intern&#237;\DOKLADY_K_ZA&#344;&#205;ZEN&#205;\Protokoly_k_za&#345;&#237;zen&#237;\712A_Vejprnice-&#268;.Kubice\PZS%20km%20166,435" TargetMode="External"/><Relationship Id="rId313" Type="http://schemas.openxmlformats.org/officeDocument/2006/relationships/hyperlink" Target="file:///\\OR00000PLZNT011\SSZT_PLZ-Intern&#237;\DOKLADY_K_ZA&#344;&#205;ZEN&#205;\Protokoly_k_za&#345;&#237;zen&#237;\712A_Vejprnice-&#268;.Kubice\&#382;st.%20N&#253;&#345;any" TargetMode="External"/><Relationship Id="rId10" Type="http://schemas.openxmlformats.org/officeDocument/2006/relationships/hyperlink" Target="file:///\\OR00000PLZNT011\SSZT_PLZ-Intern&#237;\DOKLADY_K_ZA&#344;&#205;ZEN&#205;\Protokoly_k_za&#345;&#237;zen&#237;\720_Plze&#328;-Cheb\&#382;st.%20Mil&#237;kov" TargetMode="External"/><Relationship Id="rId31" Type="http://schemas.openxmlformats.org/officeDocument/2006/relationships/hyperlink" Target="file:///\\OR00000PLZNT011\SSZT_PLZ-Intern&#237;\DOKLADY_K_ZA&#344;&#205;ZEN&#205;\Protokoly_k_za&#345;&#237;zen&#237;\719_Plze&#328;-&#381;atec\PZS%20km%20143,676+143,786" TargetMode="External"/><Relationship Id="rId52" Type="http://schemas.openxmlformats.org/officeDocument/2006/relationships/hyperlink" Target="file:///\\OR00000PLZNT011\SSZT_PLZ-Intern&#237;\DOKLADY_K_ZA&#344;&#205;ZEN&#205;\Protokoly_k_za&#345;&#237;zen&#237;\710A_Hora&#382;&#271;ovice-Klatovy\&#382;st.%20&#381;ichovice" TargetMode="External"/><Relationship Id="rId73" Type="http://schemas.openxmlformats.org/officeDocument/2006/relationships/hyperlink" Target="file:///\\OR00000PLZNT011\SSZT_PLZ-Intern&#237;\DOKLADY_K_ZA&#344;&#205;ZEN&#205;\Protokoly_k_za&#345;&#237;zen&#237;\709B_Hora&#382;&#271;ovice_p&#345;.-Plze&#328;\&#382;st.%20Pa&#269;ejov" TargetMode="External"/><Relationship Id="rId94" Type="http://schemas.openxmlformats.org/officeDocument/2006/relationships/hyperlink" Target="file:///\\OR00000PLZNT011\SSZT_PLZ-Intern&#237;\DOKLADY_K_ZA&#344;&#205;ZEN&#205;\Protokoly_k_za&#345;&#237;zen&#237;\720_Plze&#328;-Cheb\TZZ%20Svoj&#353;&#237;n-O&#353;el&#237;n" TargetMode="External"/><Relationship Id="rId148" Type="http://schemas.openxmlformats.org/officeDocument/2006/relationships/hyperlink" Target="file:///\\OR00000PLZNT011\SSZT_PLZ-Intern&#237;\DOKLADY_K_ZA&#344;&#205;ZEN&#205;\Protokoly_k_za&#345;&#237;zen&#237;\714A_Rokycany-Nezv&#283;stice\Rokycany-Miro&#353;ov\PZS_km_1,810" TargetMode="External"/><Relationship Id="rId169" Type="http://schemas.openxmlformats.org/officeDocument/2006/relationships/hyperlink" Target="file:///\\OR00000PLZNT011\SSZT_PLZ-Intern&#237;\DOKLADY_K_ZA&#344;&#205;ZEN&#205;\Protokoly_k_za&#345;&#237;zen&#237;\714A_Rokycany-Nezv&#283;stice\&#381;st.%20P&#345;&#237;kosice" TargetMode="External"/><Relationship Id="rId334" Type="http://schemas.openxmlformats.org/officeDocument/2006/relationships/hyperlink" Target="file:///\\OR00000PLZNT011\SSZT_PLZ-Intern&#237;\DOKLADY_K_ZA&#344;&#205;ZEN&#205;\Protokoly_k_za&#345;&#237;zen&#237;\712A_Vejprnice-&#268;.Kubice\PZS%20km%20161,291" TargetMode="External"/><Relationship Id="rId355" Type="http://schemas.openxmlformats.org/officeDocument/2006/relationships/hyperlink" Target="file:///\\OR00000PLZNT011\SSZT_PLZ-Intern&#237;\DOKLADY_K_ZA&#344;&#205;ZEN&#205;\Protokoly_k_za&#345;&#237;zen&#237;\717A_Doma&#382;lice-Plan&#225;\PZS%20km%2042,296" TargetMode="External"/><Relationship Id="rId376" Type="http://schemas.openxmlformats.org/officeDocument/2006/relationships/hyperlink" Target="file:///\\OR00000PLZNT011\SSZT_PLZ-Intern&#237;\DOKLADY_K_ZA&#344;&#205;ZEN&#205;\Protokoly_k_za&#345;&#237;zen&#237;\711_Plze&#328;-&#381;.Ruda\PZS%20km%2068,297" TargetMode="External"/><Relationship Id="rId397" Type="http://schemas.openxmlformats.org/officeDocument/2006/relationships/hyperlink" Target="file:///\\OR00000PLZNT011\SSZT_PLZ-Intern&#237;\DOKLADY_K_ZA&#344;&#205;ZEN&#205;\Protokoly_k_za&#345;&#237;zen&#237;\710B_Klatovy-Doma&#382;lice\PZS%20km%2015,115" TargetMode="External"/><Relationship Id="rId4" Type="http://schemas.openxmlformats.org/officeDocument/2006/relationships/hyperlink" Target="file:///\\OR00000PLZNT011\SSZT_PLZ-Intern&#237;\DOKLADY_K_ZA&#344;&#205;ZEN&#205;\Protokoly_k_za&#345;&#237;zen&#237;\709B_Hora&#382;&#271;ovice_p&#345;.-Plze&#328;\PZS%20km%20319,916" TargetMode="External"/><Relationship Id="rId180" Type="http://schemas.openxmlformats.org/officeDocument/2006/relationships/hyperlink" Target="file:///\\OR00000PLZNT011\SSZT_PLZ-Intern&#237;\DOKLADY_K_ZA&#344;&#205;ZEN&#205;\Protokoly_k_za&#345;&#237;zen&#237;\Uzel_Plze&#328;\Plze&#328;%20se&#345;.n" TargetMode="External"/><Relationship Id="rId215" Type="http://schemas.openxmlformats.org/officeDocument/2006/relationships/hyperlink" Target="file:///\\OR00000PLZNT011\SSZT_PLZ-Intern&#237;\DOKLADY_K_ZA&#344;&#205;ZEN&#205;\Protokoly_k_za&#345;&#237;zen&#237;\720_Plze&#328;-Cheb\TZZ%20K&#345;imice-Kozolupy" TargetMode="External"/><Relationship Id="rId236" Type="http://schemas.openxmlformats.org/officeDocument/2006/relationships/hyperlink" Target="file:///\\OR00000PLZNT011\SSZT_PLZ-Intern&#237;\DOKLADY_K_ZA&#344;&#205;ZEN&#205;\Protokoly_k_za&#345;&#237;zen&#237;\711_Plze&#328;-&#381;.Ruda\PZS%20km%2075,961" TargetMode="External"/><Relationship Id="rId257" Type="http://schemas.openxmlformats.org/officeDocument/2006/relationships/hyperlink" Target="file:///\\OR00000PLZNT011\SSZT_PLZ-Intern&#237;\DOKLADY_K_ZA&#344;&#205;ZEN&#205;\Protokoly_k_za&#345;&#237;zen&#237;\720_Plze&#328;-Cheb\PZS%20km%20365,481" TargetMode="External"/><Relationship Id="rId278" Type="http://schemas.openxmlformats.org/officeDocument/2006/relationships/hyperlink" Target="file:///\\OR00000PLZNT011\SSZT_PLZ-Intern&#237;\DOKLADY_K_ZA&#344;&#205;ZEN&#205;\Protokoly_k_za&#345;&#237;zen&#237;\712A_Vejprnice-&#268;.Kubice\PZS%20km%20117,860" TargetMode="External"/><Relationship Id="rId401" Type="http://schemas.openxmlformats.org/officeDocument/2006/relationships/hyperlink" Target="file:///\\OR00000PLZNT011\SSZT_PLZ-Intern&#237;\DOKLADY_K_ZA&#344;&#205;ZEN&#205;\Protokoly_k_za&#345;&#237;zen&#237;\712A_Vejprnice-&#268;.Kubice\TZZ%20N&#253;&#345;any-Chot&#283;&#353;ov" TargetMode="External"/><Relationship Id="rId422" Type="http://schemas.openxmlformats.org/officeDocument/2006/relationships/hyperlink" Target="file:///\\OR00000PLZNT011\SSZT_PLZ-Intern&#237;\DOKLADY_K_ZA&#344;&#205;ZEN&#205;\Protokoly_k_za&#345;&#237;zen&#237;\714B_Ejpovice-Radnice\Stupno" TargetMode="External"/><Relationship Id="rId443" Type="http://schemas.openxmlformats.org/officeDocument/2006/relationships/hyperlink" Target="file:///\\OR00000PLZNT011\SSZT_PLZ-Intern&#237;\DOKLADY_K_ZA&#344;&#205;ZEN&#205;\Protokoly_k_za&#345;&#237;zen&#237;\711_Plze&#328;-&#381;.Ruda\&#382;st.%20&#352;vihov" TargetMode="External"/><Relationship Id="rId464" Type="http://schemas.openxmlformats.org/officeDocument/2006/relationships/hyperlink" Target="file:///\\OR00000PLZNT011\SSZT_PLZ-Intern&#237;\DOKLADY_K_ZA&#344;&#205;ZEN&#205;\Protokoly_k_za&#345;&#237;zen&#237;\713A_Plze&#328;-Zbiroh\&#382;st.%20Rokycany" TargetMode="External"/><Relationship Id="rId303" Type="http://schemas.openxmlformats.org/officeDocument/2006/relationships/hyperlink" Target="file:///\\OR00000PLZNT011\SSZT_PLZ-Intern&#237;\DOKLADY_K_ZA&#344;&#205;ZEN&#205;\Protokoly_k_za&#345;&#237;zen&#237;\711_Plze&#328;-&#381;.Ruda\PZS%20km%202,891" TargetMode="External"/><Relationship Id="rId42" Type="http://schemas.openxmlformats.org/officeDocument/2006/relationships/hyperlink" Target="file:///\\OR00000PLZNT011\SSZT_PLZ-Intern&#237;\DOKLADY_K_ZA&#344;&#205;ZEN&#205;\Protokoly_k_za&#345;&#237;zen&#237;\711_Plze&#328;-&#381;.Ruda\PZS%20km%2042,996" TargetMode="External"/><Relationship Id="rId84" Type="http://schemas.openxmlformats.org/officeDocument/2006/relationships/hyperlink" Target="file:///\\OR00000PLZNT011\SSZT_PLZ-Intern&#237;\DOKLADY_K_ZA&#344;&#205;ZEN&#205;\Protokoly_k_za&#345;&#237;zen&#237;\709B_Hora&#382;&#271;ovice_p&#345;.-Plze&#328;\TZZ%20Nepomuk%20-%20&#381;d&#237;rec" TargetMode="External"/><Relationship Id="rId138" Type="http://schemas.openxmlformats.org/officeDocument/2006/relationships/hyperlink" Target="file:///\\OR00000PLZNT011\SSZT_PLZ-Intern&#237;\DOKLADY_K_ZA&#344;&#205;ZEN&#205;\Protokoly_k_za&#345;&#237;zen&#237;\712A_Vejprnice-&#268;.Kubice\PZS%20km%20169,869" TargetMode="External"/><Relationship Id="rId345" Type="http://schemas.openxmlformats.org/officeDocument/2006/relationships/hyperlink" Target="file:///\\OR00000PLZNT011\SSZT_PLZ-Intern&#237;\DOKLADY_K_ZA&#344;&#205;ZEN&#205;\Protokoly_k_za&#345;&#237;zen&#237;\710B_Klatovy-Doma&#382;lice\PZS%20km%2018,437" TargetMode="External"/><Relationship Id="rId387" Type="http://schemas.openxmlformats.org/officeDocument/2006/relationships/hyperlink" Target="file:///\\OR00000PLZNT011\SSZT_PLZ-Intern&#237;\DOKLADY_K_ZA&#344;&#205;ZEN&#205;\Protokoly_k_za&#345;&#237;zen&#237;\717A_Doma&#382;lice-Plan&#225;\&#382;st.%20Pob&#283;&#382;ovice" TargetMode="External"/><Relationship Id="rId191" Type="http://schemas.openxmlformats.org/officeDocument/2006/relationships/hyperlink" Target="file:///\\OR00000PLZNT011\SSZT_PLZ-Intern&#237;\DOKLADY_K_ZA&#344;&#205;ZEN&#205;\Protokoly_k_za&#345;&#237;zen&#237;\711_Plze&#328;-&#381;.Ruda\PZS%20km%2053,803" TargetMode="External"/><Relationship Id="rId205" Type="http://schemas.openxmlformats.org/officeDocument/2006/relationships/hyperlink" Target="file:///\\OR00000PLZNT011\SSZT_PLZ-Intern&#237;\DOKLADY_K_ZA&#344;&#205;ZEN&#205;\Protokoly_k_za&#345;&#237;zen&#237;\714A_Rokycany-Nezv&#283;stice\P&#345;&#237;kosice-Nezv&#283;stice\PZS%20km%2022,388" TargetMode="External"/><Relationship Id="rId247" Type="http://schemas.openxmlformats.org/officeDocument/2006/relationships/hyperlink" Target="file:///\\OR00000PLZNT011\SSZT_PLZ-Intern&#237;\DOKLADY_K_ZA&#344;&#205;ZEN&#205;\Protokoly_k_za&#345;&#237;zen&#237;\710B_Klatovy-Doma&#382;lice\&#382;st.%20Pocinovice" TargetMode="External"/><Relationship Id="rId412" Type="http://schemas.openxmlformats.org/officeDocument/2006/relationships/hyperlink" Target="file:///\\OR00000PLZNT011\SSZT_PLZ-Intern&#237;\DOKLADY_K_ZA&#344;&#205;ZEN&#205;\Protokoly_k_za&#345;&#237;zen&#237;\710A_Hora&#382;&#271;ovice-Klatovy\&#382;st.%20B&#283;&#353;iny" TargetMode="External"/><Relationship Id="rId107" Type="http://schemas.openxmlformats.org/officeDocument/2006/relationships/hyperlink" Target="file:///\\OR00000PLZNT011\SSZT_PLZ-Intern&#237;\DOKLADY_K_ZA&#344;&#205;ZEN&#205;\Protokoly_k_za&#345;&#237;zen&#237;\712A_Vejprnice-&#268;.Kubice\&#382;st.%20Stod" TargetMode="External"/><Relationship Id="rId289" Type="http://schemas.openxmlformats.org/officeDocument/2006/relationships/hyperlink" Target="file:///\\OR00000PLZNT011\SSZT_PLZ-Intern&#237;\DOKLADY_K_ZA&#344;&#205;ZEN&#205;\Protokoly_k_za&#345;&#237;zen&#237;\717A_Doma&#382;lice-Plan&#225;\&#382;st.%20Tachov" TargetMode="External"/><Relationship Id="rId454" Type="http://schemas.openxmlformats.org/officeDocument/2006/relationships/hyperlink" Target="file:///\\OR00000PLZNT011\SSZT_PLZ-Intern&#237;\DOKLADY_K_ZA&#344;&#205;ZEN&#205;\Protokoly_k_za&#345;&#237;zen&#237;\713A_Plze&#328;-Zbiroh\&#382;st.%20Ejpovice" TargetMode="External"/><Relationship Id="rId11" Type="http://schemas.openxmlformats.org/officeDocument/2006/relationships/hyperlink" Target="file:///\\OR00000PLZNT011\SSZT_PLZ-Intern&#237;\DOKLADY_K_ZA&#344;&#205;ZEN&#205;\Protokoly_k_za&#345;&#237;zen&#237;\720_Plze&#328;-Cheb\TZZ%20St&#345;&#237;bro-Mil&#237;kov" TargetMode="External"/><Relationship Id="rId53" Type="http://schemas.openxmlformats.org/officeDocument/2006/relationships/hyperlink" Target="file:///\\OR00000PLZNT011\SSZT_PLZ-Intern&#237;\DOKLADY_K_ZA&#344;&#205;ZEN&#205;\Protokoly_k_za&#345;&#237;zen&#237;\712A_Vejprnice-&#268;.Kubice\PZS%20km%20158,840" TargetMode="External"/><Relationship Id="rId149" Type="http://schemas.openxmlformats.org/officeDocument/2006/relationships/hyperlink" Target="file:///\\OR00000PLZNT011\SSZT_PLZ-Intern&#237;\DOKLADY_K_ZA&#344;&#205;ZEN&#205;\Protokoly_k_za&#345;&#237;zen&#237;\714A_Rokycany-Nezv&#283;stice\Rokycany-Miro&#353;ov\PZS_km_2,332" TargetMode="External"/><Relationship Id="rId314" Type="http://schemas.openxmlformats.org/officeDocument/2006/relationships/hyperlink" Target="file:///\\OR00000PLZNT011\SSZT_PLZ-Intern&#237;\DOKLADY_K_ZA&#344;&#205;ZEN&#205;\Protokoly_k_za&#345;&#237;zen&#237;\717A_Doma&#382;lice-Plan&#225;\PZS%20km%2057,996" TargetMode="External"/><Relationship Id="rId356" Type="http://schemas.openxmlformats.org/officeDocument/2006/relationships/hyperlink" Target="file:///\\OR00000PLZNT011\SSZT_PLZ-Intern&#237;\DOKLADY_K_ZA&#344;&#205;ZEN&#205;\Protokoly_k_za&#345;&#237;zen&#237;\717A_Doma&#382;lice-Plan&#225;\PZS%20km%2043,288" TargetMode="External"/><Relationship Id="rId398" Type="http://schemas.openxmlformats.org/officeDocument/2006/relationships/hyperlink" Target="file:///\\OR00000PLZNT011\SSZT_PLZ-Intern&#237;\DOKLADY_K_ZA&#344;&#205;ZEN&#205;\Protokoly_k_za&#345;&#237;zen&#237;\713A_Plze&#328;-Zbiroh\TZZ%20Zbiroh-Ho&#345;ovice" TargetMode="External"/><Relationship Id="rId95" Type="http://schemas.openxmlformats.org/officeDocument/2006/relationships/hyperlink" Target="file:///\\OR00000PLZNT011\SSZT_PLZ-Intern&#237;\DOKLADY_K_ZA&#344;&#205;ZEN&#205;\Protokoly_k_za&#345;&#237;zen&#237;\720_Plze&#328;-Cheb\TZZ%20O&#353;el&#237;n-Pavlovice" TargetMode="External"/><Relationship Id="rId160" Type="http://schemas.openxmlformats.org/officeDocument/2006/relationships/hyperlink" Target="file:///\\OR00000PLZNT011\SSZT_PLZ-Intern&#237;\DOKLADY_K_ZA&#344;&#205;ZEN&#205;\Protokoly_k_za&#345;&#237;zen&#237;\714A_Rokycany-Nezv&#283;stice\Miro&#353;ov-P&#345;&#237;kosice\PZS_km_11,058_11,377" TargetMode="External"/><Relationship Id="rId216" Type="http://schemas.openxmlformats.org/officeDocument/2006/relationships/hyperlink" Target="file:///\\OR00000PLZNT011\SSZT_PLZ-Intern&#237;\DOKLADY_K_ZA&#344;&#205;ZEN&#205;\Protokoly_k_za&#345;&#237;zen&#237;\720_Plze&#328;-Cheb\&#382;st.%20Kozolupy" TargetMode="External"/><Relationship Id="rId423" Type="http://schemas.openxmlformats.org/officeDocument/2006/relationships/hyperlink" Target="file:///\\OR00000PLZNT011\SSZT_PLZ-Intern&#237;\DOKLADY_K_ZA&#344;&#205;ZEN&#205;\Protokoly_k_za&#345;&#237;zen&#237;\714B_Ejpovice-Radnice\Stupno" TargetMode="External"/><Relationship Id="rId258" Type="http://schemas.openxmlformats.org/officeDocument/2006/relationships/hyperlink" Target="file:///\\OR00000PLZNT011\SSZT_PLZ-Intern&#237;\DOKLADY_K_ZA&#344;&#205;ZEN&#205;\Protokoly_k_za&#345;&#237;zen&#237;\720_Plze&#328;-Cheb\PZS%20km%20369,239" TargetMode="External"/><Relationship Id="rId465" Type="http://schemas.openxmlformats.org/officeDocument/2006/relationships/hyperlink" Target="file:///\\OR00000PLZNT011\SSZT_PLZ-Intern&#237;\DOKLADY_K_ZA&#344;&#205;ZEN&#205;\Protokoly_k_za&#345;&#237;zen&#237;\712A_Vejprnice-&#268;.Kubice\&#382;st.%20Vejprnice" TargetMode="External"/><Relationship Id="rId22" Type="http://schemas.openxmlformats.org/officeDocument/2006/relationships/hyperlink" Target="file:///\\OR00000PLZNT011\SSZT_PLZ-Intern&#237;\DOKLADY_K_ZA&#344;&#205;ZEN&#205;\Protokoly_k_za&#345;&#237;zen&#237;\719_Plze&#328;-&#381;atec\PZS%20km%2010,513" TargetMode="External"/><Relationship Id="rId64" Type="http://schemas.openxmlformats.org/officeDocument/2006/relationships/hyperlink" Target="file:///\\OR00000PLZNT011\SSZT_PLZ-Intern&#237;\DOKLADY_K_ZA&#344;&#205;ZEN&#205;\Protokoly_k_za&#345;&#237;zen&#237;\711_Plze&#328;-&#381;.Ruda\PZS%20km%2011,054" TargetMode="External"/><Relationship Id="rId118" Type="http://schemas.openxmlformats.org/officeDocument/2006/relationships/hyperlink" Target="file:///\\OR00000PLZNT011\SSZT_PLZ-Intern&#237;\DOKLADY_K_ZA&#344;&#205;ZEN&#205;\Protokoly_k_za&#345;&#237;zen&#237;\710A_Hora&#382;&#271;ovice-Klatovy\PZS%20km%2032,713" TargetMode="External"/><Relationship Id="rId325" Type="http://schemas.openxmlformats.org/officeDocument/2006/relationships/hyperlink" Target="file:///\\OR00000PLZNT011\SSZT_PLZ-Intern&#237;\DOKLADY_K_ZA&#344;&#205;ZEN&#205;\Protokoly_k_za&#345;&#237;zen&#237;\710B_Klatovy-Doma&#382;lice\&#382;st.%20Kdyn&#283;" TargetMode="External"/><Relationship Id="rId367" Type="http://schemas.openxmlformats.org/officeDocument/2006/relationships/hyperlink" Target="file:///\\OR00000PLZNT011\SSZT_PLZ-Intern&#237;\DOKLADY_K_ZA&#344;&#205;ZEN&#205;\Protokoly_k_za&#345;&#237;zen&#237;\709B_Hora&#382;&#271;ovice_p&#345;.-Plze&#328;\PZS%20km%20328,577" TargetMode="External"/><Relationship Id="rId171" Type="http://schemas.openxmlformats.org/officeDocument/2006/relationships/hyperlink" Target="file:///\\OR00000PLZNT011\SSZT_PLZ-Intern&#237;\DOKLADY_K_ZA&#344;&#205;ZEN&#205;\Protokoly_k_za&#345;&#237;zen&#237;\710A_Hora&#382;&#271;ovice-Klatovy\PZS%20km%2052,328" TargetMode="External"/><Relationship Id="rId227" Type="http://schemas.openxmlformats.org/officeDocument/2006/relationships/hyperlink" Target="file:///\\OR00000PLZNT011\SSZT_PLZ-Intern&#237;\DOKLADY_K_ZA&#344;&#205;ZEN&#205;\Protokoly_k_za&#345;&#237;zen&#237;\720_Plze&#328;-Cheb\&#382;st.%20Pavlovice" TargetMode="External"/><Relationship Id="rId269" Type="http://schemas.openxmlformats.org/officeDocument/2006/relationships/hyperlink" Target="file:///\\OR00000PLZNT011\SSZT_PLZ-Intern&#237;\DOKLADY_K_ZA&#344;&#205;ZEN&#205;\Protokoly_k_za&#345;&#237;zen&#237;\720_Plze&#328;-Cheb\&#382;st.%20Vranov%20u%20St&#345;&#237;bra" TargetMode="External"/><Relationship Id="rId434" Type="http://schemas.openxmlformats.org/officeDocument/2006/relationships/hyperlink" Target="file:///\\OR00000PLZNT011\SSZT_PLZ-Intern&#237;\DOKLADY_K_ZA&#344;&#205;ZEN&#205;\Protokoly_k_za&#345;&#237;zen&#237;\710A_Hora&#382;&#271;ovice-Klatovy\PZS%20km%2044,057" TargetMode="External"/><Relationship Id="rId476" Type="http://schemas.openxmlformats.org/officeDocument/2006/relationships/hyperlink" Target="file:///\\OR00000PLZNT011\SSZT_PLZ-Intern&#237;\DOKLADY_K_ZA&#344;&#205;ZEN&#205;\Protokoly_k_za&#345;&#237;zen&#237;\719_Plze&#328;-&#381;atec\&#382;st.Horn&#237;%20B&#345;&#237;za" TargetMode="External"/><Relationship Id="rId33" Type="http://schemas.openxmlformats.org/officeDocument/2006/relationships/hyperlink" Target="file:///\\OR00000PLZNT011\SSZT_PLZ-Intern&#237;\DOKLADY_K_ZA&#344;&#205;ZEN&#205;\Protokoly_k_za&#345;&#237;zen&#237;\710B_Klatovy-Doma&#382;lice\PZS%20km%207,693" TargetMode="External"/><Relationship Id="rId129" Type="http://schemas.openxmlformats.org/officeDocument/2006/relationships/hyperlink" Target="file:///\\OR00000PLZNT011\SSZT_PLZ-Intern&#237;\DOKLADY_K_ZA&#344;&#205;ZEN&#205;\Protokoly_k_za&#345;&#237;zen&#237;\713A_Plze&#328;-Zbiroh\PZS%20km%2071,717" TargetMode="External"/><Relationship Id="rId280" Type="http://schemas.openxmlformats.org/officeDocument/2006/relationships/hyperlink" Target="file:///\\OR00000PLZNT011\SSZT_PLZ-Intern&#237;\DOKLADY_K_ZA&#344;&#205;ZEN&#205;\Protokoly_k_za&#345;&#237;zen&#237;\Uzel_Plze&#328;\Ji&#382;n&#237;%20P&#345;edm&#283;st&#237;" TargetMode="External"/><Relationship Id="rId336" Type="http://schemas.openxmlformats.org/officeDocument/2006/relationships/hyperlink" Target="file:///\\OR00000PLZNT011\SSZT_PLZ-Intern&#237;\DOKLADY_K_ZA&#344;&#205;ZEN&#205;\Protokoly_k_za&#345;&#237;zen&#237;\709B_Hora&#382;&#271;ovice_p&#345;.-Plze&#328;\PZS%20km%20293,204" TargetMode="External"/><Relationship Id="rId75" Type="http://schemas.openxmlformats.org/officeDocument/2006/relationships/hyperlink" Target="file:///\\OR00000PLZNT011\SSZT_PLZ-Intern&#237;\DOKLADY_K_ZA&#344;&#205;ZEN&#205;\Protokoly_k_za&#345;&#237;zen&#237;\709B_Hora&#382;&#271;ovice_p&#345;.-Plze&#328;\&#382;st.%20Hora&#382;&#271;ovice%20p&#345;" TargetMode="External"/><Relationship Id="rId140" Type="http://schemas.openxmlformats.org/officeDocument/2006/relationships/hyperlink" Target="file:///\\OR00000PLZNT011\SSZT_PLZ-Intern&#237;\DOKLADY_K_ZA&#344;&#205;ZEN&#205;\Protokoly_k_za&#345;&#237;zen&#237;\712A_Vejprnice-&#268;.Kubice\PZS%20km%20171,661" TargetMode="External"/><Relationship Id="rId182" Type="http://schemas.openxmlformats.org/officeDocument/2006/relationships/hyperlink" Target="file:///\\OR00000PLZNT011\SSZT_PLZ-Intern&#237;\DOKLADY_K_ZA&#344;&#205;ZEN&#205;\Protokoly_k_za&#345;&#237;zen&#237;\Uzel_Plze&#328;\Plze&#328;%20se&#345;.n" TargetMode="External"/><Relationship Id="rId378" Type="http://schemas.openxmlformats.org/officeDocument/2006/relationships/hyperlink" Target="file:///\\OR00000PLZNT011\SSZT_PLZ-Intern&#237;\DOKLADY_K_ZA&#344;&#205;ZEN&#205;\Protokoly_k_za&#345;&#237;zen&#237;\711_Plze&#328;-&#381;.Ruda\PZS%20km%2078,769" TargetMode="External"/><Relationship Id="rId403" Type="http://schemas.openxmlformats.org/officeDocument/2006/relationships/hyperlink" Target="file:///\\OR00000PLZNT011\SSZT_PLZ-Intern&#237;\DOKLADY_K_ZA&#344;&#205;ZEN&#205;\Protokoly_k_za&#345;&#237;zen&#237;\719_Plze&#328;-&#381;atec\PZS%20km%2022,694" TargetMode="External"/><Relationship Id="rId6" Type="http://schemas.openxmlformats.org/officeDocument/2006/relationships/hyperlink" Target="file:///\\OR00000PLZNT011\SSZT_PLZ-Intern&#237;\DOKLADY_K_ZA&#344;&#205;ZEN&#205;\Protokoly_k_za&#345;&#237;zen&#237;\709B_Hora&#382;&#271;ovice_p&#345;.-Plze&#328;\&#382;st.%20Nezv&#283;stice" TargetMode="External"/><Relationship Id="rId238" Type="http://schemas.openxmlformats.org/officeDocument/2006/relationships/hyperlink" Target="file:///\\OR00000PLZNT011\SSZT_PLZ-Intern&#237;\DOKLADY_K_ZA&#344;&#205;ZEN&#205;\Protokoly_k_za&#345;&#237;zen&#237;\714B_Ejpovice-Radnice\PZS%20km%203,618" TargetMode="External"/><Relationship Id="rId445" Type="http://schemas.openxmlformats.org/officeDocument/2006/relationships/hyperlink" Target="file:///\\OR00000PLZNT011\SSZT_PLZ-Intern&#237;\DOKLADY_K_ZA&#344;&#205;ZEN&#205;\Protokoly_k_za&#345;&#237;zen&#237;\719_Plze&#328;-&#381;atec\&#382;st.T&#345;emo&#353;n&#225;" TargetMode="External"/><Relationship Id="rId291" Type="http://schemas.openxmlformats.org/officeDocument/2006/relationships/hyperlink" Target="file:///\\OR00000PLZNT011\SSZT_PLZ-Intern&#237;\DOKLADY_K_ZA&#344;&#205;ZEN&#205;\Protokoly_k_za&#345;&#237;zen&#237;\711_Plze&#328;-&#381;.Ruda\PZS%20km%2082,235" TargetMode="External"/><Relationship Id="rId305" Type="http://schemas.openxmlformats.org/officeDocument/2006/relationships/hyperlink" Target="file:///\\OR00000PLZNT011\SSZT_PLZ-Intern&#237;\DOKLADY_K_ZA&#344;&#205;ZEN&#205;\Protokoly_k_za&#345;&#237;zen&#237;\711_Plze&#328;-&#381;.Ruda\PZS%20km%203,544" TargetMode="External"/><Relationship Id="rId347" Type="http://schemas.openxmlformats.org/officeDocument/2006/relationships/hyperlink" Target="file:///\\OR00000PLZNT011\SSZT_PLZ-Intern&#237;\DOKLADY_K_ZA&#344;&#205;ZEN&#205;\Protokoly_k_za&#345;&#237;zen&#237;\712A_Vejprnice-&#268;.Kubice\&#382;st.%20&#268;.Kubice" TargetMode="External"/><Relationship Id="rId44" Type="http://schemas.openxmlformats.org/officeDocument/2006/relationships/hyperlink" Target="file:///\\OR00000PLZNT011\SSZT_PLZ-Intern&#237;\DOKLADY_K_ZA&#344;&#205;ZEN&#205;\Protokoly_k_za&#345;&#237;zen&#237;\711_Plze&#328;-&#381;.Ruda\PZS%20km%2045,039" TargetMode="External"/><Relationship Id="rId86" Type="http://schemas.openxmlformats.org/officeDocument/2006/relationships/hyperlink" Target="file:///\\OR00000PLZNT011\SSZT_PLZ-Intern&#237;\DOKLADY_K_ZA&#344;&#205;ZEN&#205;\Protokoly_k_za&#345;&#237;zen&#237;\710A_Hora&#382;&#271;ovice-Klatovy\PZS%20km%2035,130" TargetMode="External"/><Relationship Id="rId151" Type="http://schemas.openxmlformats.org/officeDocument/2006/relationships/hyperlink" Target="file:///\\OR00000PLZNT011\SSZT_PLZ-Intern&#237;\DOKLADY_K_ZA&#344;&#205;ZEN&#205;\Protokoly_k_za&#345;&#237;zen&#237;\714A_Rokycany-Nezv&#283;stice\Rokycany-Miro&#353;ov\PZS_km_3,097" TargetMode="External"/><Relationship Id="rId389" Type="http://schemas.openxmlformats.org/officeDocument/2006/relationships/hyperlink" Target="file:///\\OR00000PLZNT011\SSZT_PLZ-Intern&#237;\DOKLADY_K_ZA&#344;&#205;ZEN&#205;\Protokoly_k_za&#345;&#237;zen&#237;\720_Plze&#328;-Cheb\&#382;st.%20Plan&#225;%20u%20Mar.%20L&#225;zn&#237;" TargetMode="External"/><Relationship Id="rId193" Type="http://schemas.openxmlformats.org/officeDocument/2006/relationships/hyperlink" Target="file:///\\OR00000PLZNT011\SSZT_PLZ-Intern&#237;\DOKLADY_K_ZA&#344;&#205;ZEN&#205;\Protokoly_k_za&#345;&#237;zen&#237;\714B_Ejpovice-Radnice\PZS%20km%2017,904" TargetMode="External"/><Relationship Id="rId207" Type="http://schemas.openxmlformats.org/officeDocument/2006/relationships/hyperlink" Target="file:///\\OR00000PLZNT011\SSZT_PLZ-Intern&#237;\DOKLADY_K_ZA&#344;&#205;ZEN&#205;\Protokoly_k_za&#345;&#237;zen&#237;\709B_Hora&#382;&#271;ovice_p&#345;.-Plze&#328;\PZS%20km%20331,019" TargetMode="External"/><Relationship Id="rId249" Type="http://schemas.openxmlformats.org/officeDocument/2006/relationships/hyperlink" Target="file:///\\OR00000PLZNT011\SSZT_PLZ-Intern&#237;\DOKLADY_K_ZA&#344;&#205;ZEN&#205;\Protokoly_k_za&#345;&#237;zen&#237;\710A_Hora&#382;&#271;ovice-Klatovy\PZS%20km%2016,371" TargetMode="External"/><Relationship Id="rId414" Type="http://schemas.openxmlformats.org/officeDocument/2006/relationships/hyperlink" Target="file:///\\OR00000PLZNT011\SSZT_PLZ-Intern&#237;\DOKLADY_K_ZA&#344;&#205;ZEN&#205;\Protokoly_k_za&#345;&#237;zen&#237;\720_Plze&#328;-Cheb\PZS%20km%20416,557" TargetMode="External"/><Relationship Id="rId456" Type="http://schemas.openxmlformats.org/officeDocument/2006/relationships/hyperlink" Target="file:///\\OR00000PLZNT011\SSZT_PLZ-Intern&#237;\DOKLADY_K_ZA&#344;&#205;ZEN&#205;\Protokoly_k_za&#345;&#237;zen&#237;\709B_Hora&#382;&#271;ovice_p&#345;.-Plze&#328;\&#382;st.%20&#381;d&#237;rec%20u%20Plzn&#283;" TargetMode="External"/><Relationship Id="rId13" Type="http://schemas.openxmlformats.org/officeDocument/2006/relationships/hyperlink" Target="file:///\\OR00000PLZNT011\SSZT_PLZ-Intern&#237;\DOKLADY_K_ZA&#344;&#205;ZEN&#205;\Protokoly_k_za&#345;&#237;zen&#237;\720_Plze&#328;-Cheb\&#382;st.%20St&#345;&#237;bro" TargetMode="External"/><Relationship Id="rId109" Type="http://schemas.openxmlformats.org/officeDocument/2006/relationships/hyperlink" Target="file:///\\OR00000PLZNT011\SSZT_PLZ-Intern&#237;\DOKLADY_K_ZA&#344;&#205;ZEN&#205;\Protokoly_k_za&#345;&#237;zen&#237;\714A_Rokycany-Nezv&#283;stice\Miro&#353;ov-P&#345;&#237;kosice\PZS_km_9,355" TargetMode="External"/><Relationship Id="rId260" Type="http://schemas.openxmlformats.org/officeDocument/2006/relationships/hyperlink" Target="file:///\\OR00000PLZNT011\SSZT_PLZ-Intern&#237;\DOKLADY_K_ZA&#344;&#205;ZEN&#205;\Protokoly_k_za&#345;&#237;zen&#237;\720_Plze&#328;-Cheb\PZS%20km%20383,828" TargetMode="External"/><Relationship Id="rId316" Type="http://schemas.openxmlformats.org/officeDocument/2006/relationships/hyperlink" Target="file:///\\OR00000PLZNT011\SSZT_PLZ-Intern&#237;\DOKLADY_K_ZA&#344;&#205;ZEN&#205;\Protokoly_k_za&#345;&#237;zen&#237;\717A_Doma&#382;lice-Plan&#225;\PZS%20km%2020,905" TargetMode="External"/><Relationship Id="rId55" Type="http://schemas.openxmlformats.org/officeDocument/2006/relationships/hyperlink" Target="file:///\\OR00000PLZNT011\SSZT_PLZ-Intern&#237;\DOKLADY_K_ZA&#344;&#205;ZEN&#205;\Protokoly_k_za&#345;&#237;zen&#237;\712A_Vejprnice-&#268;.Kubice\v&#253;h.%20Radonice" TargetMode="External"/><Relationship Id="rId97" Type="http://schemas.openxmlformats.org/officeDocument/2006/relationships/hyperlink" Target="file:///\\OR00000PLZNT011\SSZT_PLZ-Intern&#237;\DOKLADY_K_ZA&#344;&#205;ZEN&#205;\Protokoly_k_za&#345;&#237;zen&#237;\720_Plze&#328;-Cheb\PZS%20km%20403,919" TargetMode="External"/><Relationship Id="rId120" Type="http://schemas.openxmlformats.org/officeDocument/2006/relationships/hyperlink" Target="file:///\\OR00000PLZNT011\SSZT_PLZ-Intern&#237;\DOKLADY_K_ZA&#344;&#205;ZEN&#205;\Protokoly_k_za&#345;&#237;zen&#237;\712A_Vejprnice-&#268;.Kubice\PZS%20km%20134,661" TargetMode="External"/><Relationship Id="rId358" Type="http://schemas.openxmlformats.org/officeDocument/2006/relationships/hyperlink" Target="file:///\\OR00000PLZNT011\SSZT_PLZ-Intern&#237;\DOKLADY_K_ZA&#344;&#205;ZEN&#205;\Protokoly_k_za&#345;&#237;zen&#237;\717A_Doma&#382;lice-Plan&#225;\PZS%20km%2068,493" TargetMode="External"/><Relationship Id="rId162" Type="http://schemas.openxmlformats.org/officeDocument/2006/relationships/hyperlink" Target="file:///\\OR00000PLZNT011\SSZT_PLZ-Intern&#237;\DOKLADY_K_ZA&#344;&#205;ZEN&#205;\Protokoly_k_za&#345;&#237;zen&#237;\714A_Rokycany-Nezv&#283;stice\Miro&#353;ov-P&#345;&#237;kosice\PZS_km_12,165" TargetMode="External"/><Relationship Id="rId218" Type="http://schemas.openxmlformats.org/officeDocument/2006/relationships/hyperlink" Target="file:///\\OR00000PLZNT011\SSZT_PLZ-Intern&#237;\DOKLADY_K_ZA&#344;&#205;ZEN&#205;\Protokoly_k_za&#345;&#237;zen&#237;\714A_Rokycany-Nezv&#283;stice\P&#345;&#237;kosice-Nezv&#283;stice\PZS%20km%2024,000" TargetMode="External"/><Relationship Id="rId425" Type="http://schemas.openxmlformats.org/officeDocument/2006/relationships/hyperlink" Target="file:///\\OR00000PLZNT011\SSZT_PLZ-Intern&#237;\DOKLADY_K_ZA&#344;&#205;ZEN&#205;\Protokoly_k_za&#345;&#237;zen&#237;\714B_Ejpovice-Radnice\PZS%20km%2013,852" TargetMode="External"/><Relationship Id="rId467" Type="http://schemas.openxmlformats.org/officeDocument/2006/relationships/hyperlink" Target="file:///\\OR00000PLZNT011\SSZT_PLZ-Intern&#237;\DOKLADY_K_ZA&#344;&#205;ZEN&#205;\Protokoly_k_za&#345;&#237;zen&#237;\712A_Vejprnice-&#268;.Kubice\&#382;st.%20Doma&#382;lice" TargetMode="External"/><Relationship Id="rId271" Type="http://schemas.openxmlformats.org/officeDocument/2006/relationships/hyperlink" Target="file:///\\OR00000PLZNT011\SSZT_PLZ-Intern&#237;\DOKLADY_K_ZA&#344;&#205;ZEN&#205;\Protokoly_k_za&#345;&#237;zen&#237;\717A_Doma&#382;lice-Plan&#225;\PZS%20km%203,222" TargetMode="External"/><Relationship Id="rId24" Type="http://schemas.openxmlformats.org/officeDocument/2006/relationships/hyperlink" Target="file:///\\OR00000PLZNT011\SSZT_PLZ-Intern&#237;\DOKLADY_K_ZA&#344;&#205;ZEN&#205;\Protokoly_k_za&#345;&#237;zen&#237;\712A_Vejprnice-&#268;.Kubice\&#382;st.%20Vejprnice" TargetMode="External"/><Relationship Id="rId66" Type="http://schemas.openxmlformats.org/officeDocument/2006/relationships/hyperlink" Target="file:///\\OR00000PLZNT011\SSZT_PLZ-Intern&#237;\DOKLADY_K_ZA&#344;&#205;ZEN&#205;\Protokoly_k_za&#345;&#237;zen&#237;\711_Plze&#328;-&#381;.Ruda\&#382;st.%20&#352;pi&#269;&#225;k" TargetMode="External"/><Relationship Id="rId131" Type="http://schemas.openxmlformats.org/officeDocument/2006/relationships/hyperlink" Target="file:///\\OR00000PLZNT011\SSZT_PLZ-Intern&#237;\DOKLADY_K_ZA&#344;&#205;ZEN&#205;\Protokoly_k_za&#345;&#237;zen&#237;\713A_Plze&#328;-Zbiroh\&#382;st.%20Holoubkov" TargetMode="External"/><Relationship Id="rId327" Type="http://schemas.openxmlformats.org/officeDocument/2006/relationships/hyperlink" Target="file:///\\OR00000PLZNT011\SSZT_PLZ-Intern&#237;\DOKLADY_K_ZA&#344;&#205;ZEN&#205;\Protokoly_k_za&#345;&#237;zen&#237;\717A_Doma&#382;lice-Plan&#225;\PZS%20km%2056,357" TargetMode="External"/><Relationship Id="rId369" Type="http://schemas.openxmlformats.org/officeDocument/2006/relationships/hyperlink" Target="file:///\\OR00000PLZNT011\SSZT_PLZ-Intern&#237;\DOKLADY_K_ZA&#344;&#205;ZEN&#205;\Protokoly_k_za&#345;&#237;zen&#237;\711_Plze&#328;-&#381;.Ruda\PZS%20km%2037,849" TargetMode="External"/><Relationship Id="rId173" Type="http://schemas.openxmlformats.org/officeDocument/2006/relationships/hyperlink" Target="file:///\\OR00000PLZNT011\SSZT_PLZ-Intern&#237;\DOKLADY_K_ZA&#344;&#205;ZEN&#205;\Protokoly_k_za&#345;&#237;zen&#237;\714B_Ejpovice-Radnice\PZS%20km%2016,006" TargetMode="External"/><Relationship Id="rId229" Type="http://schemas.openxmlformats.org/officeDocument/2006/relationships/hyperlink" Target="file:///\\OR00000PLZNT011\SSZT_PLZ-Intern&#237;\DOKLADY_K_ZA&#344;&#205;ZEN&#205;\Protokoly_k_za&#345;&#237;zen&#237;\720_Plze&#328;-Cheb\&#382;st.%20P&#328;ovany" TargetMode="External"/><Relationship Id="rId380" Type="http://schemas.openxmlformats.org/officeDocument/2006/relationships/hyperlink" Target="file:///\\OR00000PLZNT011\SSZT_PLZ-Intern&#237;\DOKLADY_K_ZA&#344;&#205;ZEN&#205;\Protokoly_k_za&#345;&#237;zen&#237;\711_Plze&#328;-&#381;.Ruda\PZS%20km%2066,068" TargetMode="External"/><Relationship Id="rId436" Type="http://schemas.openxmlformats.org/officeDocument/2006/relationships/hyperlink" Target="file:///\\OR00000PLZNT011\SSZT_PLZ-Intern&#237;\DOKLADY_K_ZA&#344;&#205;ZEN&#205;\Protokoly_k_za&#345;&#237;zen&#237;\710A_Hora&#382;&#271;ovice-Klatovy\PZS%20km%2045,696" TargetMode="External"/><Relationship Id="rId240" Type="http://schemas.openxmlformats.org/officeDocument/2006/relationships/hyperlink" Target="file:///\\OR00000PLZNT011\SSZT_PLZ-Intern&#237;\DOKLADY_K_ZA&#344;&#205;ZEN&#205;\Protokoly_k_za&#345;&#237;zen&#237;\719_Plze&#328;-&#381;atec\PZS%20km%2025,423" TargetMode="External"/><Relationship Id="rId478" Type="http://schemas.openxmlformats.org/officeDocument/2006/relationships/printerSettings" Target="../printerSettings/printerSettings1.bin"/><Relationship Id="rId35" Type="http://schemas.openxmlformats.org/officeDocument/2006/relationships/hyperlink" Target="file:///\\OR00000PLZNT011\SSZT_PLZ-Intern&#237;\DOKLADY_K_ZA&#344;&#205;ZEN&#205;\Protokoly_k_za&#345;&#237;zen&#237;\710A_Hora&#382;&#271;ovice-Klatovy\PZS%20km%2051,647" TargetMode="External"/><Relationship Id="rId77" Type="http://schemas.openxmlformats.org/officeDocument/2006/relationships/hyperlink" Target="file:///\\OR00000PLZNT011\SSZT_PLZ-Intern&#237;\DOKLADY_K_ZA&#344;&#205;ZEN&#205;\Protokoly_k_za&#345;&#237;zen&#237;\711_Plze&#328;-&#381;.Ruda\&#382;st.%20Janovice%20nad%20&#218;hlavou" TargetMode="External"/><Relationship Id="rId100" Type="http://schemas.openxmlformats.org/officeDocument/2006/relationships/hyperlink" Target="file:///\\OR00000PLZNT011\SSZT_PLZ-Intern&#237;\DOKLADY_K_ZA&#344;&#205;ZEN&#205;\Protokoly_k_za&#345;&#237;zen&#237;\710A_Hora&#382;&#271;ovice-Klatovy\PZS%20km%2030,203" TargetMode="External"/><Relationship Id="rId282" Type="http://schemas.openxmlformats.org/officeDocument/2006/relationships/hyperlink" Target="file:///\\OR00000PLZNT011\SSZT_PLZ-Intern&#237;\DOKLADY_K_ZA&#344;&#205;ZEN&#205;\Protokoly_k_za&#345;&#237;zen&#237;\713A_Plze&#328;-Zbiroh\&#382;st.%20Rokycany" TargetMode="External"/><Relationship Id="rId338" Type="http://schemas.openxmlformats.org/officeDocument/2006/relationships/hyperlink" Target="file:///\\OR00000PLZNT011\SSZT_PLZ-Intern&#237;\DOKLADY_K_ZA&#344;&#205;ZEN&#205;\Protokoly_k_za&#345;&#237;zen&#237;\709B_Hora&#382;&#271;ovice_p&#345;.-Plze&#328;\PZS%20km%20304,770" TargetMode="External"/><Relationship Id="rId8" Type="http://schemas.openxmlformats.org/officeDocument/2006/relationships/hyperlink" Target="file:///\\OR00000PLZNT011\SSZT_PLZ-Intern&#237;\DOKLADY_K_ZA&#344;&#205;ZEN&#205;\Protokoly_k_za&#345;&#237;zen&#237;\710B_Klatovy-Doma&#382;lice\PZS%20km%2024,292" TargetMode="External"/><Relationship Id="rId142" Type="http://schemas.openxmlformats.org/officeDocument/2006/relationships/hyperlink" Target="file:///\\OR00000PLZNT011\SSZT_PLZ-Intern&#237;\DOKLADY_K_ZA&#344;&#205;ZEN&#205;\Protokoly_k_za&#345;&#237;zen&#237;\717A_Doma&#382;lice-Plan&#225;\PZS%20km%2041,340" TargetMode="External"/><Relationship Id="rId184" Type="http://schemas.openxmlformats.org/officeDocument/2006/relationships/hyperlink" Target="file:///\\OR00000PLZNT011\SSZT_PLZ-Intern&#237;\DOKLADY_K_ZA&#344;&#205;ZEN&#205;\Protokoly_k_za&#345;&#237;zen&#237;\Uzel_Plze&#328;\Plze&#328;%20se&#345;.n" TargetMode="External"/><Relationship Id="rId391" Type="http://schemas.openxmlformats.org/officeDocument/2006/relationships/hyperlink" Target="file:///\\OR00000PLZNT011\SSZT_PLZ-Intern&#237;\DOKLADY_K_ZA&#344;&#205;ZEN&#205;\Protokoly_k_za&#345;&#237;zen&#237;\711_Plze&#328;-&#381;.Ruda\&#382;st.%20Klatovy" TargetMode="External"/><Relationship Id="rId405" Type="http://schemas.openxmlformats.org/officeDocument/2006/relationships/hyperlink" Target="file:///\\OR00000PLZNT011\SSZT_PLZ-Intern&#237;\DOKLADY_K_ZA&#344;&#205;ZEN&#205;\Protokoly_k_za&#345;&#237;zen&#237;\Uzel_Plze&#328;\Nov&#225;%20Hospoda" TargetMode="External"/><Relationship Id="rId447" Type="http://schemas.openxmlformats.org/officeDocument/2006/relationships/hyperlink" Target="file:///\\OR00000PLZNT011\SSZT_PLZ-Intern&#237;\DOKLADY_K_ZA&#344;&#205;ZEN&#205;\Protokoly_k_za&#345;&#237;zen&#237;\712A_Vejprnice-&#268;.Kubice\&#382;st.%20Hol&#253;&#353;ov" TargetMode="External"/><Relationship Id="rId251" Type="http://schemas.openxmlformats.org/officeDocument/2006/relationships/hyperlink" Target="file:///\\OR00000PLZNT011\SSZT_PLZ-Intern&#237;\DOKLADY_K_ZA&#344;&#205;ZEN&#205;\Protokoly_k_za&#345;&#237;zen&#237;\720_Plze&#328;-Cheb\TZZ%20Mil&#237;kov-Svoj&#353;&#237;n" TargetMode="External"/><Relationship Id="rId46" Type="http://schemas.openxmlformats.org/officeDocument/2006/relationships/hyperlink" Target="file:///\\OR00000PLZNT011\SSZT_PLZ-Intern&#237;\DOKLADY_K_ZA&#344;&#205;ZEN&#205;\Protokoly_k_za&#345;&#237;zen&#237;\711_Plze&#328;-&#381;.Ruda\PZS%20km%2048,005" TargetMode="External"/><Relationship Id="rId293" Type="http://schemas.openxmlformats.org/officeDocument/2006/relationships/hyperlink" Target="file:///\\OR00000PLZNT011\SSZT_PLZ-Intern&#237;\DOKLADY_K_ZA&#344;&#205;ZEN&#205;\Protokoly_k_za&#345;&#237;zen&#237;\710B_Klatovy-Doma&#382;lice\PZS%20km%204,596" TargetMode="External"/><Relationship Id="rId307" Type="http://schemas.openxmlformats.org/officeDocument/2006/relationships/hyperlink" Target="file:///\\OR00000PLZNT011\SSZT_PLZ-Intern&#237;\DOKLADY_K_ZA&#344;&#205;ZEN&#205;\Protokoly_k_za&#345;&#237;zen&#237;\711_Plze&#328;-&#381;.Ruda\PZS%20km%2026,888" TargetMode="External"/><Relationship Id="rId349" Type="http://schemas.openxmlformats.org/officeDocument/2006/relationships/hyperlink" Target="file:///\\OR00000PLZNT011\SSZT_PLZ-Intern&#237;\DOKLADY_K_ZA&#344;&#205;ZEN&#205;\Protokoly_k_za&#345;&#237;zen&#237;\710A_Hora&#382;&#271;ovice-Klatovy\&#382;st.%20Hr&#225;dek%20u%20Su&#353;ice" TargetMode="External"/><Relationship Id="rId88" Type="http://schemas.openxmlformats.org/officeDocument/2006/relationships/hyperlink" Target="file:///\\OR00000PLZNT011\SSZT_PLZ-Intern&#237;\DOKLADY_K_ZA&#344;&#205;ZEN&#205;\Protokoly_k_za&#345;&#237;zen&#237;\719_Plze&#328;-&#381;atec\&#382;st.Mladotice" TargetMode="External"/><Relationship Id="rId111" Type="http://schemas.openxmlformats.org/officeDocument/2006/relationships/hyperlink" Target="file:///\\OR00000PLZNT011\SSZT_PLZ-Intern&#237;\DOKLADY_K_ZA&#344;&#205;ZEN&#205;\Protokoly_k_za&#345;&#237;zen&#237;\710A_Hora&#382;&#271;ovice-Klatovy\&#382;st.%20V.%20Hyd&#269;ice" TargetMode="External"/><Relationship Id="rId153" Type="http://schemas.openxmlformats.org/officeDocument/2006/relationships/hyperlink" Target="file:///\\OR00000PLZNT011\SSZT_PLZ-Intern&#237;\DOKLADY_K_ZA&#344;&#205;ZEN&#205;\Protokoly_k_za&#345;&#237;zen&#237;\714A_Rokycany-Nezv&#283;stice\Rokycany-Miro&#353;ov\PZS_km_5,004" TargetMode="External"/><Relationship Id="rId195" Type="http://schemas.openxmlformats.org/officeDocument/2006/relationships/hyperlink" Target="file:///\\OR00000PLZNT011\SSZT_PLZ-Intern&#237;\DOKLADY_K_ZA&#344;&#205;ZEN&#205;\Protokoly_k_za&#345;&#237;zen&#237;\714B_Ejpovice-Radnice\PZS%20km%2015,555" TargetMode="External"/><Relationship Id="rId209" Type="http://schemas.openxmlformats.org/officeDocument/2006/relationships/hyperlink" Target="file:///\\OR00000PLZNT011\SSZT_PLZ-Intern&#237;\DOKLADY_K_ZA&#344;&#205;ZEN&#205;\Protokoly_k_za&#345;&#237;zen&#237;\710B_Klatovy-Doma&#382;lice\PZS%20km%2015,552" TargetMode="External"/><Relationship Id="rId360" Type="http://schemas.openxmlformats.org/officeDocument/2006/relationships/hyperlink" Target="file:///\\OR00000PLZNT011\SSZT_PLZ-Intern&#237;\DOKLADY_K_ZA&#344;&#205;ZEN&#205;\Protokoly_k_za&#345;&#237;zen&#237;\719_Plze&#328;-&#381;atec\PZS%20km%208,577" TargetMode="External"/><Relationship Id="rId416" Type="http://schemas.openxmlformats.org/officeDocument/2006/relationships/hyperlink" Target="file:///\\OR00000PLZNT011\SSZT_PLZ-Intern&#237;\DOKLADY_K_ZA&#344;&#205;ZEN&#205;\Protokoly_k_za&#345;&#237;zen&#237;\720_Plze&#328;-Cheb\TZZ%20Chodov&#225;%20Plan&#225;-Mari&#225;nsk&#233;%20L&#225;zn&#283;" TargetMode="External"/><Relationship Id="rId220" Type="http://schemas.openxmlformats.org/officeDocument/2006/relationships/hyperlink" Target="file:///\\OR00000PLZNT011\SSZT_PLZ-Intern&#237;\DOKLADY_K_ZA&#344;&#205;ZEN&#205;\Protokoly_k_za&#345;&#237;zen&#237;\720_Plze&#328;-Cheb\&#382;st.%20Kozolupy" TargetMode="External"/><Relationship Id="rId458" Type="http://schemas.openxmlformats.org/officeDocument/2006/relationships/hyperlink" Target="file:///\\OR00000PLZNT011\SSZT_PLZ-Intern&#237;\DOKLADY_K_ZA&#344;&#205;ZEN&#205;\Protokoly_k_za&#345;&#237;zen&#237;\711_Plze&#328;-&#381;.Ruda\&#382;st.%20Dob&#345;any" TargetMode="External"/><Relationship Id="rId15" Type="http://schemas.openxmlformats.org/officeDocument/2006/relationships/hyperlink" Target="file:///\\OR00000PLZNT011\SSZT_PLZ-Intern&#237;\DOKLADY_K_ZA&#344;&#205;ZEN&#205;\Protokoly_k_za&#345;&#237;zen&#237;\711_Plze&#328;-&#381;.Ruda\PZS%20km%2074,258" TargetMode="External"/><Relationship Id="rId57" Type="http://schemas.openxmlformats.org/officeDocument/2006/relationships/hyperlink" Target="file:///\\OR00000PLZNT011\SSZT_PLZ-Intern&#237;\DOKLADY_K_ZA&#344;&#205;ZEN&#205;\Protokoly_k_za&#345;&#237;zen&#237;\711_Plze&#328;-&#381;.Ruda\PZS%20km%2022,856" TargetMode="External"/><Relationship Id="rId262" Type="http://schemas.openxmlformats.org/officeDocument/2006/relationships/hyperlink" Target="file:///\\OR00000PLZNT011\SSZT_PLZ-Intern&#237;\DOKLADY_K_ZA&#344;&#205;ZEN&#205;\Protokoly_k_za&#345;&#237;zen&#237;\720_Plze&#328;-Cheb\TZZ%20Vranov-St&#345;&#237;bro" TargetMode="External"/><Relationship Id="rId318" Type="http://schemas.openxmlformats.org/officeDocument/2006/relationships/hyperlink" Target="file:///\\OR00000PLZNT011\SSZT_PLZ-Intern&#237;\DOKLADY_K_ZA&#344;&#205;ZEN&#205;\Protokoly_k_za&#345;&#237;zen&#237;\717A_Doma&#382;lice-Plan&#225;\PZS%20km%2020,090" TargetMode="External"/><Relationship Id="rId99" Type="http://schemas.openxmlformats.org/officeDocument/2006/relationships/hyperlink" Target="file:///\\OR00000PLZNT011\SSZT_PLZ-Intern&#237;\DOKLADY_K_ZA&#344;&#205;ZEN&#205;\Protokoly_k_za&#345;&#237;zen&#237;\720_Plze&#328;-Cheb\&#382;st.%20O&#353;el&#237;n" TargetMode="External"/><Relationship Id="rId122" Type="http://schemas.openxmlformats.org/officeDocument/2006/relationships/hyperlink" Target="file:///\\OR00000PLZNT011\SSZT_PLZ-Intern&#237;\DOKLADY_K_ZA&#344;&#205;ZEN&#205;\Protokoly_k_za&#345;&#237;zen&#237;\712A_Vejprnice-&#268;.Kubice\PZS%20km%20136,464" TargetMode="External"/><Relationship Id="rId164" Type="http://schemas.openxmlformats.org/officeDocument/2006/relationships/hyperlink" Target="file:///\\OR00000PLZNT011\SSZT_PLZ-Intern&#237;\DOKLADY_K_ZA&#344;&#205;ZEN&#205;\Protokoly_k_za&#345;&#237;zen&#237;\714A_Rokycany-Nezv&#283;stice\P&#345;&#237;kosice-Nezv&#283;stice\PZS%20km%2012,933" TargetMode="External"/><Relationship Id="rId371" Type="http://schemas.openxmlformats.org/officeDocument/2006/relationships/hyperlink" Target="file:///\\OR00000PLZNT011\SSZT_PLZ-Intern&#237;\DOKLADY_K_ZA&#344;&#205;ZEN&#205;\Protokoly_k_za&#345;&#237;zen&#237;\711_Plze&#328;-&#381;.Ruda\PZS%20km%2077,386" TargetMode="External"/><Relationship Id="rId427" Type="http://schemas.openxmlformats.org/officeDocument/2006/relationships/hyperlink" Target="file:///\\OR00000PLZNT011\SSZT_PLZ-Intern&#237;\DOKLADY_K_ZA&#344;&#205;ZEN&#205;\Protokoly_k_za&#345;&#237;zen&#237;\710A_Hora&#382;&#271;ovice-Klatovy\PZS%20km%2037,504" TargetMode="External"/><Relationship Id="rId469" Type="http://schemas.openxmlformats.org/officeDocument/2006/relationships/hyperlink" Target="file:///\\OR00000PLZNT011\SSZT_PLZ-Intern&#237;\DOKLADY_K_ZA&#344;&#205;ZEN&#205;\Protokoly_k_za&#345;&#237;zen&#237;\713A_Plze&#328;-Zbiroh\n&#225;kl.%20Zbiroh" TargetMode="External"/><Relationship Id="rId26" Type="http://schemas.openxmlformats.org/officeDocument/2006/relationships/hyperlink" Target="file:///\\OR00000PLZNT011\SSZT_PLZ-Intern&#237;\DOKLADY_K_ZA&#344;&#205;ZEN&#205;\Protokoly_k_za&#345;&#237;zen&#237;\712A_Vejprnice-&#268;.Kubice\&#382;st.%20Bl&#237;&#382;ejov" TargetMode="External"/><Relationship Id="rId231" Type="http://schemas.openxmlformats.org/officeDocument/2006/relationships/hyperlink" Target="file:///\\OR00000PLZNT011\SSZT_PLZ-Intern&#237;\DOKLADY_K_ZA&#344;&#205;ZEN&#205;\Protokoly_k_za&#345;&#237;zen&#237;\710A_Hora&#382;&#271;ovice-Klatovy\PZS%20km%2056,559" TargetMode="External"/><Relationship Id="rId273" Type="http://schemas.openxmlformats.org/officeDocument/2006/relationships/hyperlink" Target="file:///\\OR00000PLZNT011\SSZT_PLZ-Intern&#237;\DOKLADY_K_ZA&#344;&#205;ZEN&#205;\Protokoly_k_za&#345;&#237;zen&#237;\717A_Doma&#382;lice-Plan&#225;\PZS%20km%205,475" TargetMode="External"/><Relationship Id="rId329" Type="http://schemas.openxmlformats.org/officeDocument/2006/relationships/hyperlink" Target="file:///\\OR00000PLZNT011\SSZT_PLZ-Intern&#237;\DOKLADY_K_ZA&#344;&#205;ZEN&#205;\Protokoly_k_za&#345;&#237;zen&#237;\710A_Hora&#382;&#271;ovice-Klatovy\PZS%20km%2011,549" TargetMode="External"/><Relationship Id="rId68" Type="http://schemas.openxmlformats.org/officeDocument/2006/relationships/hyperlink" Target="file:///\\OR00000PLZNT011\SSZT_PLZ-Intern&#237;\DOKLADY_K_ZA&#344;&#205;ZEN&#205;\Protokoly_k_za&#345;&#237;zen&#237;\711_Plze&#328;-&#381;.Ruda\&#382;st.%20Zelen&#225;%20Lhota" TargetMode="External"/><Relationship Id="rId133" Type="http://schemas.openxmlformats.org/officeDocument/2006/relationships/hyperlink" Target="file:///\\OR00000PLZNT011\SSZT_PLZ-Intern&#237;\DOKLADY_K_ZA&#344;&#205;ZEN&#205;\Protokoly_k_za&#345;&#237;zen&#237;\719_Plze&#328;-&#381;atec\&#382;st.&#381;ihle" TargetMode="External"/><Relationship Id="rId175" Type="http://schemas.openxmlformats.org/officeDocument/2006/relationships/hyperlink" Target="file:///\\OR00000PLZNT011\SSZT_PLZ-Intern&#237;\DOKLADY_K_ZA&#344;&#205;ZEN&#205;\Protokoly_k_za&#345;&#237;zen&#237;\717A_Doma&#382;lice-Plan&#225;\PZS%20km%2031,678" TargetMode="External"/><Relationship Id="rId340" Type="http://schemas.openxmlformats.org/officeDocument/2006/relationships/hyperlink" Target="file:///\\OR00000PLZNT011\SSZT_PLZ-Intern&#237;\DOKLADY_K_ZA&#344;&#205;ZEN&#205;\Protokoly_k_za&#345;&#237;zen&#237;\709B_Hora&#382;&#271;ovice_p&#345;.-Plze&#328;\&#382;st.%20Blovice" TargetMode="External"/><Relationship Id="rId200" Type="http://schemas.openxmlformats.org/officeDocument/2006/relationships/hyperlink" Target="file:///\\OR00000PLZNT011\SSZT_PLZ-Intern&#237;\DOKLADY_K_ZA&#344;&#205;ZEN&#205;\Protokoly_k_za&#345;&#237;zen&#237;\712A_Vejprnice-&#268;.Kubice\PZS%20km%20122,022" TargetMode="External"/><Relationship Id="rId382" Type="http://schemas.openxmlformats.org/officeDocument/2006/relationships/hyperlink" Target="file:///\\OR00000PLZNT011\SSZT_PLZ-Intern&#237;\DOKLADY_K_ZA&#344;&#205;ZEN&#205;\Protokoly_k_za&#345;&#237;zen&#237;\709B_Hora&#382;&#271;ovice_p&#345;.-Plze&#328;\PZS%20km%20339,658" TargetMode="External"/><Relationship Id="rId438" Type="http://schemas.openxmlformats.org/officeDocument/2006/relationships/hyperlink" Target="file:///\\OR00000PLZNT011\SSZT_PLZ-Intern&#237;\DOKLADY_K_ZA&#344;&#205;ZEN&#205;\Protokoly_k_za&#345;&#237;zen&#237;\710A_Hora&#382;&#271;ovice-Klatovy\&#382;st.%20B&#283;&#353;iny" TargetMode="External"/><Relationship Id="rId242" Type="http://schemas.openxmlformats.org/officeDocument/2006/relationships/hyperlink" Target="file:///\\OR00000PLZNT011\SSZT_PLZ-Intern&#237;\DOKLADY_K_ZA&#344;&#205;ZEN&#205;\Protokoly_k_za&#345;&#237;zen&#237;\717B_Svoj&#353;&#237;n-Bor\PZS%20km%207,435" TargetMode="External"/><Relationship Id="rId284" Type="http://schemas.openxmlformats.org/officeDocument/2006/relationships/hyperlink" Target="file:///\\OR00000PLZNT011\SSZT_PLZ-Intern&#237;\DOKLADY_K_ZA&#344;&#205;ZEN&#205;\Protokoly_k_za&#345;&#237;zen&#237;\710A_Hora&#382;&#271;ovice-Klatovy\PZS%20km%2057,204" TargetMode="External"/><Relationship Id="rId37" Type="http://schemas.openxmlformats.org/officeDocument/2006/relationships/hyperlink" Target="file:///\\OR00000PLZNT011\SSZT_PLZ-Intern&#237;\DOKLADY_K_ZA&#344;&#205;ZEN&#205;\Protokoly_k_za&#345;&#237;zen&#237;\719_Plze&#328;-&#381;atec\PZS%20km%20146,091" TargetMode="External"/><Relationship Id="rId79" Type="http://schemas.openxmlformats.org/officeDocument/2006/relationships/hyperlink" Target="file:///\\OR00000PLZNT011\SSZT_PLZ-Intern&#237;\DOKLADY_K_ZA&#344;&#205;ZEN&#205;\Protokoly_k_za&#345;&#237;zen&#237;\711_Plze&#328;-&#381;.Ruda\&#382;st.%20N&#253;rsko" TargetMode="External"/><Relationship Id="rId102" Type="http://schemas.openxmlformats.org/officeDocument/2006/relationships/hyperlink" Target="file:///\\OR00000PLZNT011\SSZT_PLZ-Intern&#237;\DOKLADY_K_ZA&#344;&#205;ZEN&#205;\Protokoly_k_za&#345;&#237;zen&#237;\714C_P&#328;ovany-Bezdru&#382;ice\PZS%20km%2019,864" TargetMode="External"/><Relationship Id="rId144" Type="http://schemas.openxmlformats.org/officeDocument/2006/relationships/hyperlink" Target="file:///\\OR00000PLZNT011\SSZT_PLZ-Intern&#237;\DOKLADY_K_ZA&#344;&#205;ZEN&#205;\Protokoly_k_za&#345;&#237;zen&#237;\717A_Doma&#382;lice-Plan&#225;\&#382;st.%20B&#283;l&#225;" TargetMode="External"/><Relationship Id="rId90" Type="http://schemas.openxmlformats.org/officeDocument/2006/relationships/hyperlink" Target="file:///\\OR00000PLZNT011\SSZT_PLZ-Intern&#237;\DOKLADY_K_ZA&#344;&#205;ZEN&#205;\Protokoly_k_za&#345;&#237;zen&#237;\712A_Vejprnice-&#268;.Kubice\&#382;st.%20Sta&#328;kov" TargetMode="External"/><Relationship Id="rId186" Type="http://schemas.openxmlformats.org/officeDocument/2006/relationships/hyperlink" Target="file:///\\OR00000PLZNT011\SSZT_PLZ-Intern&#237;\DOKLADY_K_ZA&#344;&#205;ZEN&#205;\Protokoly_k_za&#345;&#237;zen&#237;\Uzel_Plze&#328;\Plze&#328;%20se&#345;.n" TargetMode="External"/><Relationship Id="rId351" Type="http://schemas.openxmlformats.org/officeDocument/2006/relationships/hyperlink" Target="file:///\\OR00000PLZNT011\SSZT_PLZ-Intern&#237;\DOKLADY_K_ZA&#344;&#205;ZEN&#205;\Protokoly_k_za&#345;&#237;zen&#237;\711_Plze&#328;-&#381;.Ruda\PZS%20km%2091,163" TargetMode="External"/><Relationship Id="rId393" Type="http://schemas.openxmlformats.org/officeDocument/2006/relationships/hyperlink" Target="file:///\\OR00000PLZNT011\SSZT_PLZ-Intern&#237;\DOKLADY_K_ZA&#344;&#205;ZEN&#205;\Protokoly_k_za&#345;&#237;zen&#237;\710A_Hora&#382;&#271;ovice-Klatovy\&#382;st.%20Kolinec" TargetMode="External"/><Relationship Id="rId407" Type="http://schemas.openxmlformats.org/officeDocument/2006/relationships/hyperlink" Target="file:///\\OR00000PLZNT011\SSZT_PLZ-Intern&#237;\DOKLADY_K_ZA&#344;&#205;ZEN&#205;\Protokoly_k_za&#345;&#237;zen&#237;\720_Plze&#328;-Cheb\&#382;st.%20Chodov&#225;%20Plan&#225;" TargetMode="External"/><Relationship Id="rId449" Type="http://schemas.openxmlformats.org/officeDocument/2006/relationships/hyperlink" Target="file:///\\OR00000PLZNT011\SSZT_PLZ-Intern&#237;\DOKLADY_K_ZA&#344;&#205;ZEN&#205;\Protokoly_k_za&#345;&#237;zen&#237;\709B_Hora&#382;&#271;ovice_p&#345;.-Plze&#328;\&#382;st.%20Koterov" TargetMode="External"/><Relationship Id="rId211" Type="http://schemas.openxmlformats.org/officeDocument/2006/relationships/hyperlink" Target="file:///\\OR00000PLZNT011\SSZT_PLZ-Intern&#237;\DOKLADY_K_ZA&#344;&#205;ZEN&#205;\Protokoly_k_za&#345;&#237;zen&#237;\712A_Vejprnice-&#268;.Kubice\PZS%20km%20177,527" TargetMode="External"/><Relationship Id="rId253" Type="http://schemas.openxmlformats.org/officeDocument/2006/relationships/hyperlink" Target="file:///\\OR00000PLZNT011\SSZT_PLZ-Intern&#237;\DOKLADY_K_ZA&#344;&#205;ZEN&#205;\Protokoly_k_za&#345;&#237;zen&#237;\720_Plze&#328;-Cheb\&#382;st.%20Svoj&#353;&#237;n" TargetMode="External"/><Relationship Id="rId295" Type="http://schemas.openxmlformats.org/officeDocument/2006/relationships/hyperlink" Target="file:///\\OR00000PLZNT011\SSZT_PLZ-Intern&#237;\DOKLADY_K_ZA&#344;&#205;ZEN&#205;\Protokoly_k_za&#345;&#237;zen&#237;\712A_Vejprnice-&#268;.Kubice\PZS%20km%20180,097" TargetMode="External"/><Relationship Id="rId309" Type="http://schemas.openxmlformats.org/officeDocument/2006/relationships/hyperlink" Target="file:///\\OR00000PLZNT011\SSZT_PLZ-Intern&#237;\DOKLADY_K_ZA&#344;&#205;ZEN&#205;\Protokoly_k_za&#345;&#237;zen&#237;\717C_Sta&#328;kov-Pob&#283;&#382;ovice\PZS%20km%2010,231" TargetMode="External"/><Relationship Id="rId460" Type="http://schemas.openxmlformats.org/officeDocument/2006/relationships/hyperlink" Target="file:///\\OR00000PLZNT011\SSZT_PLZ-Intern&#237;\DOKLADY_K_ZA&#344;&#205;ZEN&#205;\Protokoly_k_za&#345;&#237;zen&#237;\719_Plze&#328;-&#381;atec\PZS%20km%205,994" TargetMode="External"/><Relationship Id="rId48" Type="http://schemas.openxmlformats.org/officeDocument/2006/relationships/hyperlink" Target="file:///\\OR00000PLZNT011\SSZT_PLZ-Intern&#237;\DOKLADY_K_ZA&#344;&#205;ZEN&#205;\Protokoly_k_za&#345;&#237;zen&#237;\711_Plze&#328;-&#381;.Ruda\PZS%20km%2095,436" TargetMode="External"/><Relationship Id="rId113" Type="http://schemas.openxmlformats.org/officeDocument/2006/relationships/hyperlink" Target="file:///\\OR00000PLZNT011\SSZT_PLZ-Intern&#237;\DOKLADY_K_ZA&#344;&#205;ZEN&#205;\Protokoly_k_za&#345;&#237;zen&#237;\713A_Plze&#328;-Zbiroh\&#382;st.%20Holoubkov" TargetMode="External"/><Relationship Id="rId320" Type="http://schemas.openxmlformats.org/officeDocument/2006/relationships/hyperlink" Target="file:///\\OR00000PLZNT011\SSZT_PLZ-Intern&#237;\DOKLADY_K_ZA&#344;&#205;ZEN&#205;\Protokoly_k_za&#345;&#237;zen&#237;\710A_Hora&#382;&#271;ovice-Klatovy\PZS%20km%2018,133" TargetMode="External"/><Relationship Id="rId155" Type="http://schemas.openxmlformats.org/officeDocument/2006/relationships/hyperlink" Target="file:///\\OR00000PLZNT011\SSZT_PLZ-Intern&#237;\DOKLADY_K_ZA&#344;&#205;ZEN&#205;\Protokoly_k_za&#345;&#237;zen&#237;\714A_Rokycany-Nezv&#283;stice\Rokycany-Miro&#353;ov\PZS_km_5,411%20P1220" TargetMode="External"/><Relationship Id="rId197" Type="http://schemas.openxmlformats.org/officeDocument/2006/relationships/hyperlink" Target="file:///\\OR00000PLZNT011\SSZT_PLZ-Intern&#237;\DOKLADY_K_ZA&#344;&#205;ZEN&#205;\Protokoly_k_za&#345;&#237;zen&#237;\714B_Ejpovice-Radnice\PZS%20km%2016,948" TargetMode="External"/><Relationship Id="rId362" Type="http://schemas.openxmlformats.org/officeDocument/2006/relationships/hyperlink" Target="file:///\\OR00000PLZNT011\SSZT_PLZ-Intern&#237;\DOKLADY_K_ZA&#344;&#205;ZEN&#205;\Protokoly_k_za&#345;&#237;zen&#237;\714C_P&#328;ovany-Bezdru&#382;ice\PZS%20km%203,454" TargetMode="External"/><Relationship Id="rId418" Type="http://schemas.openxmlformats.org/officeDocument/2006/relationships/hyperlink" Target="file:///\\OR00000PLZNT011\SSZT_PLZ-Intern&#237;\DOKLADY_K_ZA&#344;&#205;ZEN&#205;\Protokoly_k_za&#345;&#237;zen&#237;\720_Plze&#328;-Cheb\TZZ%20Plan&#225;-Chodov&#225;%20Plan&#225;" TargetMode="External"/><Relationship Id="rId222" Type="http://schemas.openxmlformats.org/officeDocument/2006/relationships/hyperlink" Target="file:///\\OR00000PLZNT011\SSZT_PLZ-Intern&#237;\DOKLADY_K_ZA&#344;&#205;ZEN&#205;\Protokoly_k_za&#345;&#237;zen&#237;\711_Plze&#328;-&#381;.Ruda\PZS%20km%2058,552" TargetMode="External"/><Relationship Id="rId264" Type="http://schemas.openxmlformats.org/officeDocument/2006/relationships/hyperlink" Target="file:///\\OR00000PLZNT011\SSZT_PLZ-Intern&#237;\DOKLADY_K_ZA&#344;&#205;ZEN&#205;\Protokoly_k_za&#345;&#237;zen&#237;\709B_Hora&#382;&#271;ovice_p&#345;.-Plze&#328;\PZS%20km%20322,522" TargetMode="External"/><Relationship Id="rId471" Type="http://schemas.openxmlformats.org/officeDocument/2006/relationships/hyperlink" Target="file:///\\OR00000PLZNT011\SSZT_PLZ-Intern&#237;\DOKLADY_K_ZA&#344;&#205;ZEN&#205;\Protokoly_k_za&#345;&#237;zen&#237;\712A_Vejprnice-&#268;.Kubice\&#382;st.%20Bl&#237;&#382;ejov" TargetMode="External"/><Relationship Id="rId17" Type="http://schemas.openxmlformats.org/officeDocument/2006/relationships/hyperlink" Target="file:///\\OR00000PLZNT011\SSZT_PLZ-Intern&#237;\DOKLADY_K_ZA&#344;&#205;ZEN&#205;\Protokoly_k_za&#345;&#237;zen&#237;\719_Plze&#328;-&#381;atec\PZS%20km%20152,551" TargetMode="External"/><Relationship Id="rId59" Type="http://schemas.openxmlformats.org/officeDocument/2006/relationships/hyperlink" Target="file:///\\OR00000PLZNT011\SSZT_PLZ-Intern&#237;\DOKLADY_K_ZA&#344;&#205;ZEN&#205;\Protokoly_k_za&#345;&#237;zen&#237;\711_Plze&#328;-&#381;.Ruda\&#382;st.%20Zelen&#225;%20Lhota" TargetMode="External"/><Relationship Id="rId124" Type="http://schemas.openxmlformats.org/officeDocument/2006/relationships/hyperlink" Target="file:///\\OR00000PLZNT011\SSZT_PLZ-Intern&#237;\DOKLADY_K_ZA&#344;&#205;ZEN&#205;\Protokoly_k_za&#345;&#237;zen&#237;\713A_Plze&#328;-Zbiroh\TZZ%20Ka&#345;&#237;zek-Holoubkov" TargetMode="External"/><Relationship Id="rId70" Type="http://schemas.openxmlformats.org/officeDocument/2006/relationships/hyperlink" Target="file:///\\OR00000PLZNT011\SSZT_PLZ-Intern&#237;\DOKLADY_K_ZA&#344;&#205;ZEN&#205;\Protokoly_k_za&#345;&#237;zen&#237;\711_Plze&#328;-&#381;.Ruda\PZS%20km%2015,664" TargetMode="External"/><Relationship Id="rId166" Type="http://schemas.openxmlformats.org/officeDocument/2006/relationships/hyperlink" Target="file:///\\OR00000PLZNT011\SSZT_PLZ-Intern&#237;\DOKLADY_K_ZA&#344;&#205;ZEN&#205;\Protokoly_k_za&#345;&#237;zen&#237;\714A_Rokycany-Nezv&#283;stice\&#381;st.%20Miro&#353;ov" TargetMode="External"/><Relationship Id="rId331" Type="http://schemas.openxmlformats.org/officeDocument/2006/relationships/hyperlink" Target="file:///\\OR00000PLZNT011\SSZT_PLZ-Intern&#237;\DOKLADY_K_ZA&#344;&#205;ZEN&#205;\Protokoly_k_za&#345;&#237;zen&#237;\712A_Vejprnice-&#268;.Kubice\&#382;st.%20Pase&#269;nice" TargetMode="External"/><Relationship Id="rId373" Type="http://schemas.openxmlformats.org/officeDocument/2006/relationships/hyperlink" Target="file:///\\OR00000PLZNT011\SSZT_PLZ-Intern&#237;\DOKLADY_K_ZA&#344;&#205;ZEN&#205;\Protokoly_k_za&#345;&#237;zen&#237;\714B_Ejpovice-Radnice\PZS%20km%2010,077" TargetMode="External"/><Relationship Id="rId429" Type="http://schemas.openxmlformats.org/officeDocument/2006/relationships/hyperlink" Target="file:///\\OR00000PLZNT011\SSZT_PLZ-Intern&#237;\DOKLADY_K_ZA&#344;&#205;ZEN&#205;\Protokoly_k_za&#345;&#237;zen&#237;\710A_Hora&#382;&#271;ovice-Klatovy\PZS%20km%2039,853" TargetMode="External"/><Relationship Id="rId1" Type="http://schemas.openxmlformats.org/officeDocument/2006/relationships/hyperlink" Target="file:///\\OR00000PLZNT011\SSZT_PLZ-Intern&#237;\DOKLADY_K_ZA&#344;&#205;ZEN&#205;\Protokoly_k_za&#345;&#237;zen&#237;\717A_Doma&#382;lice-Plan&#225;\PZS%20km%206,240" TargetMode="External"/><Relationship Id="rId233" Type="http://schemas.openxmlformats.org/officeDocument/2006/relationships/hyperlink" Target="file:///\\OR00000PLZNT011\SSZT_PLZ-Intern&#237;\DOKLADY_K_ZA&#344;&#205;ZEN&#205;\Protokoly_k_za&#345;&#237;zen&#237;\712A_Vejprnice-&#268;.Kubice\PZS%20km%20155,006" TargetMode="External"/><Relationship Id="rId440" Type="http://schemas.openxmlformats.org/officeDocument/2006/relationships/hyperlink" Target="file:///\\OR00000PLZNT011\SSZT_PLZ-Intern&#237;\DOKLADY_K_ZA&#344;&#205;ZEN&#205;\Protokoly_k_za&#345;&#237;zen&#237;\711_Plze&#328;-&#381;.Ruda\&#382;st.%20P&#345;e&#353;tice" TargetMode="External"/><Relationship Id="rId28" Type="http://schemas.openxmlformats.org/officeDocument/2006/relationships/hyperlink" Target="file:///\\OR00000PLZNT011\SSZT_PLZ-Intern&#237;\DOKLADY_K_ZA&#344;&#205;ZEN&#205;\Protokoly_k_za&#345;&#237;zen&#237;\712A_Vejprnice-&#268;.Kubice\PZS%20km%20157,259" TargetMode="External"/><Relationship Id="rId275" Type="http://schemas.openxmlformats.org/officeDocument/2006/relationships/hyperlink" Target="file:///\\OR00000PLZNT011\SSZT_PLZ-Intern&#237;\DOKLADY_K_ZA&#344;&#205;ZEN&#205;\Protokoly_k_za&#345;&#237;zen&#237;\717A_Doma&#382;lice-Plan&#225;\PZS%20km%206,453" TargetMode="External"/><Relationship Id="rId300" Type="http://schemas.openxmlformats.org/officeDocument/2006/relationships/hyperlink" Target="file:///\\OR00000PLZNT011\SSZT_PLZ-Intern&#237;\DOKLADY_K_ZA&#344;&#205;ZEN&#205;\Protokoly_k_za&#345;&#237;zen&#237;\714A_Rokycany-Nezv&#283;stice\P&#345;&#237;kosice-Nezv&#283;stice\PZS%20km%2014,471" TargetMode="External"/><Relationship Id="rId81" Type="http://schemas.openxmlformats.org/officeDocument/2006/relationships/hyperlink" Target="file:///\\OR00000PLZNT011\SSZT_PLZ-Intern&#237;\DOKLADY_K_ZA&#344;&#205;ZEN&#205;\Protokoly_k_za&#345;&#237;zen&#237;\711_Plze&#328;-&#381;.Ruda\PZS%20km%2033,378" TargetMode="External"/><Relationship Id="rId135" Type="http://schemas.openxmlformats.org/officeDocument/2006/relationships/hyperlink" Target="file:///\\OR00000PLZNT011\SSZT_PLZ-Intern&#237;\DOKLADY_K_ZA&#344;&#205;ZEN&#205;\Protokoly_k_za&#345;&#237;zen&#237;\719_Plze&#328;-&#381;atec\&#382;st.Kazn&#283;jov" TargetMode="External"/><Relationship Id="rId177" Type="http://schemas.openxmlformats.org/officeDocument/2006/relationships/hyperlink" Target="file:///\\OR00000PLZNT011\SSZT_PLZ-Intern&#237;\DOKLADY_K_ZA&#344;&#205;ZEN&#205;\Protokoly_k_za&#345;&#237;zen&#237;\710B_Klatovy-Doma&#382;lice\PZS%20km%2021,577" TargetMode="External"/><Relationship Id="rId342" Type="http://schemas.openxmlformats.org/officeDocument/2006/relationships/hyperlink" Target="file:///\\OR00000PLZNT011\SSZT_PLZ-Intern&#237;\DOKLADY_K_ZA&#344;&#205;ZEN&#205;\Protokoly_k_za&#345;&#237;zen&#237;\709B_Hora&#382;&#271;ovice_p&#345;.-Plze&#328;\TZZ%20Nezv&#283;stice-Blovice" TargetMode="External"/><Relationship Id="rId384" Type="http://schemas.openxmlformats.org/officeDocument/2006/relationships/hyperlink" Target="file:///\\OR00000PLZNT011\SSZT_PLZ-Intern&#237;\DOKLADY_K_ZA&#344;&#205;ZEN&#205;\Protokoly_k_za&#345;&#237;zen&#237;\720_Plze&#328;-Cheb\&#382;st.%20Brod%20nad%20Tichou" TargetMode="External"/><Relationship Id="rId202" Type="http://schemas.openxmlformats.org/officeDocument/2006/relationships/hyperlink" Target="file:///\\OR00000PLZNT011\SSZT_PLZ-Intern&#237;\DOKLADY_K_ZA&#344;&#205;ZEN&#205;\Protokoly_k_za&#345;&#237;zen&#237;\709B_Hora&#382;&#271;ovice_p&#345;.-Plze&#328;\PZS%20km%20314,191" TargetMode="External"/><Relationship Id="rId244" Type="http://schemas.openxmlformats.org/officeDocument/2006/relationships/hyperlink" Target="file:///\\OR00000PLZNT011\SSZT_PLZ-Intern&#237;\DOKLADY_K_ZA&#344;&#205;ZEN&#205;\Protokoly_k_za&#345;&#237;zen&#237;\710A_Hora&#382;&#271;ovice-Klatovy\PZS%20km%207,211" TargetMode="External"/><Relationship Id="rId39" Type="http://schemas.openxmlformats.org/officeDocument/2006/relationships/hyperlink" Target="file:///\\OR00000PLZNT011\SSZT_PLZ-Intern&#237;\DOKLADY_K_ZA&#344;&#205;ZEN&#205;\Protokoly_k_za&#345;&#237;zen&#237;\719_Plze&#328;-&#381;atec\PZS%20km%20147,218" TargetMode="External"/><Relationship Id="rId286" Type="http://schemas.openxmlformats.org/officeDocument/2006/relationships/hyperlink" Target="file:///\\OR00000PLZNT011\SSZT_PLZ-Intern&#237;\DOKLADY_K_ZA&#344;&#205;ZEN&#205;\Protokoly_k_za&#345;&#237;zen&#237;\710A_Hora&#382;&#271;ovice-Klatovy\PZS%20km%2054,959" TargetMode="External"/><Relationship Id="rId451" Type="http://schemas.openxmlformats.org/officeDocument/2006/relationships/hyperlink" Target="file:///\\OR00000PLZNT011\SSZT_PLZ-Intern&#237;\DOKLADY_K_ZA&#344;&#205;ZEN&#205;\Protokoly_k_za&#345;&#237;zen&#237;\710A_Hora&#382;&#271;ovice-Klatovy\PZS%20km%2025,461" TargetMode="External"/><Relationship Id="rId50" Type="http://schemas.openxmlformats.org/officeDocument/2006/relationships/hyperlink" Target="file:///\\OR00000PLZNT011\SSZT_PLZ-Intern&#237;\DOKLADY_K_ZA&#344;&#205;ZEN&#205;\Protokoly_k_za&#345;&#237;zen&#237;\710A_Hora&#382;&#271;ovice-Klatovy\PZS%20km%2014,195" TargetMode="External"/><Relationship Id="rId104" Type="http://schemas.openxmlformats.org/officeDocument/2006/relationships/hyperlink" Target="file:///\\OR00000PLZNT011\SSZT_PLZ-Intern&#237;\DOKLADY_K_ZA&#344;&#205;ZEN&#205;\Protokoly_k_za&#345;&#237;zen&#237;\712A_Vejprnice-&#268;.Kubice\PZS%20km%20129,545" TargetMode="External"/><Relationship Id="rId146" Type="http://schemas.openxmlformats.org/officeDocument/2006/relationships/hyperlink" Target="file:///\\OR00000PLZNT011\SSZT_PLZ-Intern&#237;\DOKLADY_K_ZA&#344;&#205;ZEN&#205;\Protokoly_k_za&#345;&#237;zen&#237;\720_Plze&#328;-Cheb\&#382;st.%20K&#345;imice" TargetMode="External"/><Relationship Id="rId188" Type="http://schemas.openxmlformats.org/officeDocument/2006/relationships/hyperlink" Target="file:///\\OR00000PLZNT011\SSZT_PLZ-Intern&#237;\DOKLADY_K_ZA&#344;&#205;ZEN&#205;\Protokoly_k_za&#345;&#237;zen&#237;\Uzel_Plze&#328;\PZS%20km%20348,398-PL2" TargetMode="External"/><Relationship Id="rId311" Type="http://schemas.openxmlformats.org/officeDocument/2006/relationships/hyperlink" Target="file:///\\OR00000PLZNT011\SSZT_PLZ-Intern&#237;\DOKLADY_K_ZA&#344;&#205;ZEN&#205;\Protokoly_k_za&#345;&#237;zen&#237;\712A_Vejprnice-&#268;.Kubice\PZS%20km%20162,610" TargetMode="External"/><Relationship Id="rId353" Type="http://schemas.openxmlformats.org/officeDocument/2006/relationships/hyperlink" Target="file:///\\OR00000PLZNT011\SSZT_PLZ-Intern&#237;\DOKLADY_K_ZA&#344;&#205;ZEN&#205;\Protokoly_k_za&#345;&#237;zen&#237;\712A_Vejprnice-&#268;.Kubice\PZS%20km%20148,280" TargetMode="External"/><Relationship Id="rId395" Type="http://schemas.openxmlformats.org/officeDocument/2006/relationships/hyperlink" Target="file:///\\OR00000PLZNT011\SSZT_PLZ-Intern&#237;\DOKLADY_K_ZA&#344;&#205;ZEN&#205;\Protokoly_k_za&#345;&#237;zen&#237;\711_Plze&#328;-&#381;.Ruda\&#382;st.%20Chlum&#269;any" TargetMode="External"/><Relationship Id="rId409" Type="http://schemas.openxmlformats.org/officeDocument/2006/relationships/hyperlink" Target="file:///\\OR00000PLZNT011\SSZT_PLZ-Intern&#237;\DOKLADY_K_ZA&#344;&#205;ZEN&#205;\Protokoly_k_za&#345;&#237;zen&#237;\712A_Vejprnice-&#268;.Kubice\TZZ%20Vejprnice-N&#253;&#345;any" TargetMode="External"/><Relationship Id="rId92" Type="http://schemas.openxmlformats.org/officeDocument/2006/relationships/hyperlink" Target="file:///\\OR00000PLZNT011\SSZT_PLZ-Intern&#237;\DOKLADY_K_ZA&#344;&#205;ZEN&#205;\Protokoly_k_za&#345;&#237;zen&#237;\712A_Vejprnice-&#268;.Kubice\PZS%20km%20150,637" TargetMode="External"/><Relationship Id="rId213" Type="http://schemas.openxmlformats.org/officeDocument/2006/relationships/hyperlink" Target="file:///\\OR00000PLZNT011\SSZT_PLZ-Intern&#237;\DOKLADY_K_ZA&#344;&#205;ZEN&#205;\Protokoly_k_za&#345;&#237;zen&#237;\713A_Plze&#328;-Zbiroh\n&#225;kl.%20Zbiroh" TargetMode="External"/><Relationship Id="rId420" Type="http://schemas.openxmlformats.org/officeDocument/2006/relationships/hyperlink" Target="file:///\\OR00000PLZNT011\SSZT_PLZ-Intern&#237;\DOKLADY_K_ZA&#344;&#205;ZEN&#205;\Protokoly_k_za&#345;&#237;zen&#237;\711_Plze&#328;-&#381;.Ruda\&#382;st.%20Plze&#328;%20Valcha" TargetMode="External"/><Relationship Id="rId255" Type="http://schemas.openxmlformats.org/officeDocument/2006/relationships/hyperlink" Target="file:///\\OR00000PLZNT011\SSZT_PLZ-Intern&#237;\DOKLADY_K_ZA&#344;&#205;ZEN&#205;\Protokoly_k_za&#345;&#237;zen&#237;\711_Plze&#328;-&#381;.Ruda\PZS%20km%2047,201" TargetMode="External"/><Relationship Id="rId297" Type="http://schemas.openxmlformats.org/officeDocument/2006/relationships/hyperlink" Target="file:///\\OR00000PLZNT011\SSZT_PLZ-Intern&#237;\DOKLADY_K_ZA&#344;&#205;ZEN&#205;\Protokoly_k_za&#345;&#237;zen&#237;\711_Plze&#328;-&#381;.Ruda\PZS%20km%2062,586" TargetMode="External"/><Relationship Id="rId462" Type="http://schemas.openxmlformats.org/officeDocument/2006/relationships/hyperlink" Target="file:///\\OR00000PLZNT011\SSZT_PLZ-Intern&#237;\DOKLADY_K_ZA&#344;&#205;ZEN&#205;\Protokoly_k_za&#345;&#237;zen&#237;\709B_Hora&#382;&#271;ovice_p&#345;.-Plze&#328;\&#382;st.%20Koterov" TargetMode="External"/><Relationship Id="rId115" Type="http://schemas.openxmlformats.org/officeDocument/2006/relationships/hyperlink" Target="file:///\\OR00000PLZNT011\SSZT_PLZ-Intern&#237;\DOKLADY_K_ZA&#344;&#205;ZEN&#205;\Protokoly_k_za&#345;&#237;zen&#237;\719_Plze&#328;-&#381;atec\&#382;st.Plasy" TargetMode="External"/><Relationship Id="rId157" Type="http://schemas.openxmlformats.org/officeDocument/2006/relationships/hyperlink" Target="file:///\\OR00000PLZNT011\SSZT_PLZ-Intern&#237;\DOKLADY_K_ZA&#344;&#205;ZEN&#205;\Protokoly_k_za&#345;&#237;zen&#237;\714A_Rokycany-Nezv&#283;stice\Rokycany-Miro&#353;ov\PZS_km_6,897%20P1222" TargetMode="External"/><Relationship Id="rId322" Type="http://schemas.openxmlformats.org/officeDocument/2006/relationships/hyperlink" Target="file:///\\OR00000PLZNT011\SSZT_PLZ-Intern&#237;\DOKLADY_K_ZA&#344;&#205;ZEN&#205;\Protokoly_k_za&#345;&#237;zen&#237;\710B_Klatovy-Doma&#382;lice\PZS%20km%2020,167" TargetMode="External"/><Relationship Id="rId364" Type="http://schemas.openxmlformats.org/officeDocument/2006/relationships/hyperlink" Target="file:///\\OR00000PLZNT011\SSZT_PLZ-Intern&#237;\DOKLADY_K_ZA&#344;&#205;ZEN&#205;\Protokoly_k_za&#345;&#237;zen&#237;\709B_Hora&#382;&#271;ovice_p&#345;.-Plze&#328;\&#382;st.%20Star&#253;%20Plzenec" TargetMode="External"/><Relationship Id="rId61" Type="http://schemas.openxmlformats.org/officeDocument/2006/relationships/hyperlink" Target="file:///\\OR00000PLZNT011\SSZT_PLZ-Intern&#237;\DOKLADY_K_ZA&#344;&#205;ZEN&#205;\Protokoly_k_za&#345;&#237;zen&#237;\711_Plze&#328;-&#381;.Ruda\&#382;st.%20&#381;elezn&#225;%20Ruda%20-%20Al&#382;b&#283;t&#237;n" TargetMode="External"/><Relationship Id="rId199" Type="http://schemas.openxmlformats.org/officeDocument/2006/relationships/hyperlink" Target="file:///\\OR00000PLZNT011\SSZT_PLZ-Intern&#237;\DOKLADY_K_ZA&#344;&#205;ZEN&#205;\Protokoly_k_za&#345;&#237;zen&#237;\709B_Hora&#382;&#271;ovice_p&#345;.-Plze&#328;\PZS%20km%20317,763" TargetMode="External"/><Relationship Id="rId19" Type="http://schemas.openxmlformats.org/officeDocument/2006/relationships/hyperlink" Target="file:///\\OR00000PLZNT011\SSZT_PLZ-Intern&#237;\DOKLADY_K_ZA&#344;&#205;ZEN&#205;\Protokoly_k_za&#345;&#237;zen&#237;\719_Plze&#328;-&#381;atec\PZS%20km%20153,379" TargetMode="External"/><Relationship Id="rId224" Type="http://schemas.openxmlformats.org/officeDocument/2006/relationships/hyperlink" Target="file:///\\OR00000PLZNT011\SSZT_PLZ-Intern&#237;\DOKLADY_K_ZA&#344;&#205;ZEN&#205;\Protokoly_k_za&#345;&#237;zen&#237;\711_Plze&#328;-&#381;.Ruda\PZS%20km%2065,934" TargetMode="External"/><Relationship Id="rId266" Type="http://schemas.openxmlformats.org/officeDocument/2006/relationships/hyperlink" Target="file:///\\OR00000PLZNT011\SSZT_PLZ-Intern&#237;\DOKLADY_K_ZA&#344;&#205;ZEN&#205;\Protokoly_k_za&#345;&#237;zen&#237;\709B_Hora&#382;&#271;ovice_p&#345;.-Plze&#328;\PZS%20km%20324,205" TargetMode="External"/><Relationship Id="rId431" Type="http://schemas.openxmlformats.org/officeDocument/2006/relationships/hyperlink" Target="file:///\\OR00000PLZNT011\SSZT_PLZ-Intern&#237;\DOKLADY_K_ZA&#344;&#205;ZEN&#205;\Protokoly_k_za&#345;&#237;zen&#237;\710A_Hora&#382;&#271;ovice-Klatovy\PZS%20km%2041,193" TargetMode="External"/><Relationship Id="rId473" Type="http://schemas.openxmlformats.org/officeDocument/2006/relationships/hyperlink" Target="file:///\\OR00000PLZNT011\SSZT_PLZ-Intern&#237;\DOKLADY_K_ZA&#344;&#205;ZEN&#205;\Protokoly_k_za&#345;&#237;zen&#237;\709B_Hora&#382;&#271;ovice_p&#345;.-Plze&#328;\&#382;st.%20Nezv&#283;stice" TargetMode="External"/><Relationship Id="rId30" Type="http://schemas.openxmlformats.org/officeDocument/2006/relationships/hyperlink" Target="file:///\\OR00000PLZNT011\SSZT_PLZ-Intern&#237;\DOKLADY_K_ZA&#344;&#205;ZEN&#205;\Protokoly_k_za&#345;&#237;zen&#237;\719_Plze&#328;-&#381;atec\PZS%20km%20145,935" TargetMode="External"/><Relationship Id="rId126" Type="http://schemas.openxmlformats.org/officeDocument/2006/relationships/hyperlink" Target="file:///\\OR00000PLZNT011\SSZT_PLZ-Intern&#237;\DOKLADY_K_ZA&#344;&#205;ZEN&#205;\Protokoly_k_za&#345;&#237;zen&#237;\710B_Klatovy-Doma&#382;lice\PZS%20km%2030,339" TargetMode="External"/><Relationship Id="rId168" Type="http://schemas.openxmlformats.org/officeDocument/2006/relationships/hyperlink" Target="file:///\\OR00000PLZNT011\SSZT_PLZ-Intern&#237;\DOKLADY_K_ZA&#344;&#205;ZEN&#205;\Protokoly_k_za&#345;&#237;zen&#237;\714A_Rokycany-Nezv&#283;stice\P&#345;&#237;kosice-Nezv&#283;stice\TZZ%20P&#345;&#237;kosice-Nezv&#283;stice" TargetMode="External"/><Relationship Id="rId333" Type="http://schemas.openxmlformats.org/officeDocument/2006/relationships/hyperlink" Target="file:///\\OR00000PLZNT011\SSZT_PLZ-Intern&#237;\DOKLADY_K_ZA&#344;&#205;ZEN&#205;\Protokoly_k_za&#345;&#237;zen&#237;\712A_Vejprnice-&#268;.Kubice\PZS%20km%20160,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36A1-8C43-49B8-9485-B4D789A2BC07}">
  <sheetPr codeName="List1"/>
  <dimension ref="B1:T479"/>
  <sheetViews>
    <sheetView tabSelected="1" zoomScale="106" zoomScaleNormal="106" workbookViewId="0">
      <selection activeCell="M67" sqref="M67"/>
    </sheetView>
  </sheetViews>
  <sheetFormatPr defaultRowHeight="15" x14ac:dyDescent="0.25"/>
  <cols>
    <col min="1" max="1" width="2.85546875" customWidth="1"/>
    <col min="2" max="2" width="4" bestFit="1" customWidth="1"/>
    <col min="3" max="3" width="5.42578125" bestFit="1" customWidth="1"/>
    <col min="4" max="4" width="22.5703125" bestFit="1" customWidth="1"/>
    <col min="5" max="5" width="17.5703125" bestFit="1" customWidth="1"/>
    <col min="6" max="6" width="17.28515625" bestFit="1" customWidth="1"/>
    <col min="7" max="7" width="10.42578125" bestFit="1" customWidth="1"/>
    <col min="8" max="8" width="5.28515625" bestFit="1" customWidth="1"/>
    <col min="9" max="9" width="6" bestFit="1" customWidth="1"/>
    <col min="10" max="10" width="11.7109375" bestFit="1" customWidth="1"/>
    <col min="11" max="11" width="10.5703125" bestFit="1" customWidth="1"/>
    <col min="12" max="12" width="11.28515625" bestFit="1" customWidth="1"/>
    <col min="13" max="13" width="10.85546875" bestFit="1" customWidth="1"/>
    <col min="14" max="14" width="10.7109375" bestFit="1" customWidth="1"/>
    <col min="15" max="15" width="20.28515625" bestFit="1" customWidth="1"/>
    <col min="16" max="17" width="18.7109375" bestFit="1" customWidth="1"/>
    <col min="18" max="19" width="11.7109375" customWidth="1"/>
    <col min="20" max="20" width="126.42578125" bestFit="1" customWidth="1"/>
  </cols>
  <sheetData>
    <row r="1" spans="2:20" ht="15.75" thickBot="1" x14ac:dyDescent="0.3"/>
    <row r="2" spans="2:20" ht="15.75" thickBot="1" x14ac:dyDescent="0.3">
      <c r="B2" s="1" t="s">
        <v>0</v>
      </c>
      <c r="C2" s="2" t="s">
        <v>1</v>
      </c>
      <c r="D2" s="3" t="s">
        <v>2</v>
      </c>
      <c r="E2" s="4" t="s">
        <v>3</v>
      </c>
      <c r="F2" s="5" t="s">
        <v>4</v>
      </c>
      <c r="G2" s="5" t="s">
        <v>927</v>
      </c>
      <c r="H2" s="3" t="s">
        <v>5</v>
      </c>
      <c r="I2" s="6" t="s">
        <v>6</v>
      </c>
      <c r="J2" s="6" t="s">
        <v>7</v>
      </c>
      <c r="K2" s="7" t="s">
        <v>8</v>
      </c>
      <c r="L2" s="6" t="s">
        <v>9</v>
      </c>
      <c r="M2" s="8" t="s">
        <v>10</v>
      </c>
      <c r="N2" s="238" t="s">
        <v>11</v>
      </c>
      <c r="O2" s="238" t="s">
        <v>1480</v>
      </c>
      <c r="P2" s="238" t="s">
        <v>1481</v>
      </c>
      <c r="Q2" s="238" t="s">
        <v>1482</v>
      </c>
      <c r="R2" s="239" t="s">
        <v>12</v>
      </c>
      <c r="S2" s="256" t="s">
        <v>13</v>
      </c>
      <c r="T2" s="255" t="s">
        <v>1273</v>
      </c>
    </row>
    <row r="3" spans="2:20" x14ac:dyDescent="0.25">
      <c r="B3" s="9">
        <v>2</v>
      </c>
      <c r="C3" s="12" t="s">
        <v>190</v>
      </c>
      <c r="D3" s="13" t="s">
        <v>771</v>
      </c>
      <c r="E3" s="14" t="s">
        <v>772</v>
      </c>
      <c r="F3" s="15">
        <v>6.24</v>
      </c>
      <c r="G3" s="15" t="s">
        <v>773</v>
      </c>
      <c r="H3" s="16">
        <v>2020</v>
      </c>
      <c r="I3" s="17">
        <v>43831</v>
      </c>
      <c r="J3" s="18" t="s">
        <v>124</v>
      </c>
      <c r="K3" s="19">
        <v>2020</v>
      </c>
      <c r="L3" s="17" t="s">
        <v>1274</v>
      </c>
      <c r="M3" s="20">
        <v>44123</v>
      </c>
      <c r="N3" s="20">
        <f t="shared" ref="N3:N66" si="0">EDATE(M3,60)</f>
        <v>45949</v>
      </c>
      <c r="O3" s="240" t="str">
        <f>VLOOKUP(F3,'[1]PZ a UTZ'!$E$2:$H$335,3,FALSE)</f>
        <v>PZ 0601/05-E.49</v>
      </c>
      <c r="P3" s="20">
        <f>VLOOKUP(F3,'[1]PZ a UTZ'!$E$2:$H$335,4,FALSE)</f>
        <v>43840</v>
      </c>
      <c r="Q3" s="20">
        <f>EDATE(P3,60)</f>
        <v>45667</v>
      </c>
      <c r="R3" s="241" t="s">
        <v>1483</v>
      </c>
      <c r="S3" s="257">
        <v>724214678</v>
      </c>
      <c r="T3" s="306" t="s">
        <v>1224</v>
      </c>
    </row>
    <row r="4" spans="2:20" x14ac:dyDescent="0.25">
      <c r="B4" s="10">
        <v>3</v>
      </c>
      <c r="C4" s="21" t="s">
        <v>190</v>
      </c>
      <c r="D4" s="22" t="s">
        <v>201</v>
      </c>
      <c r="E4" s="23" t="s">
        <v>39</v>
      </c>
      <c r="F4" s="24">
        <v>334.23399999999998</v>
      </c>
      <c r="G4" s="24" t="s">
        <v>202</v>
      </c>
      <c r="H4" s="25">
        <v>2000</v>
      </c>
      <c r="I4" s="26">
        <v>43831</v>
      </c>
      <c r="J4" s="26" t="s">
        <v>40</v>
      </c>
      <c r="K4" s="25">
        <v>2000</v>
      </c>
      <c r="L4" s="26" t="s">
        <v>203</v>
      </c>
      <c r="M4" s="27">
        <v>43846</v>
      </c>
      <c r="N4" s="27">
        <f t="shared" si="0"/>
        <v>45673</v>
      </c>
      <c r="O4" s="27" t="str">
        <f>VLOOKUP(F4,'[1]PZ a UTZ'!$E$2:$H$335,3,FALSE)</f>
        <v>PZ 0536/00-E.48</v>
      </c>
      <c r="P4" s="27">
        <f>VLOOKUP(F4,'[1]PZ a UTZ'!$E$2:$H$335,4,FALSE)</f>
        <v>43846</v>
      </c>
      <c r="Q4" s="27">
        <f>EDATE(P4,60)</f>
        <v>45673</v>
      </c>
      <c r="R4" s="242" t="s">
        <v>1484</v>
      </c>
      <c r="S4" s="258">
        <v>724450266</v>
      </c>
      <c r="T4" s="268" t="s">
        <v>1006</v>
      </c>
    </row>
    <row r="5" spans="2:20" x14ac:dyDescent="0.25">
      <c r="B5" s="10">
        <v>4</v>
      </c>
      <c r="C5" s="21" t="s">
        <v>190</v>
      </c>
      <c r="D5" s="28" t="s">
        <v>198</v>
      </c>
      <c r="E5" s="23" t="s">
        <v>39</v>
      </c>
      <c r="F5" s="24">
        <v>336.11099999999999</v>
      </c>
      <c r="G5" s="24" t="s">
        <v>199</v>
      </c>
      <c r="H5" s="25">
        <v>2000</v>
      </c>
      <c r="I5" s="26">
        <v>43831</v>
      </c>
      <c r="J5" s="26" t="s">
        <v>40</v>
      </c>
      <c r="K5" s="25">
        <v>2000</v>
      </c>
      <c r="L5" s="26" t="s">
        <v>200</v>
      </c>
      <c r="M5" s="27">
        <v>43846</v>
      </c>
      <c r="N5" s="27">
        <f t="shared" si="0"/>
        <v>45673</v>
      </c>
      <c r="O5" s="27" t="str">
        <f>VLOOKUP(F5,'[1]PZ a UTZ'!$E$2:$H$335,3,FALSE)</f>
        <v>PZ 0537/00-E.48</v>
      </c>
      <c r="P5" s="27">
        <f>VLOOKUP(F5,'[1]PZ a UTZ'!$E$2:$H$335,4,FALSE)</f>
        <v>43847</v>
      </c>
      <c r="Q5" s="27">
        <f>EDATE(P5,60)</f>
        <v>45674</v>
      </c>
      <c r="R5" s="242" t="s">
        <v>1484</v>
      </c>
      <c r="S5" s="258">
        <v>724450266</v>
      </c>
      <c r="T5" s="269" t="s">
        <v>1005</v>
      </c>
    </row>
    <row r="6" spans="2:20" x14ac:dyDescent="0.25">
      <c r="B6" s="10">
        <v>5</v>
      </c>
      <c r="C6" s="29" t="s">
        <v>190</v>
      </c>
      <c r="D6" s="30" t="s">
        <v>48</v>
      </c>
      <c r="E6" s="31" t="s">
        <v>39</v>
      </c>
      <c r="F6" s="32">
        <v>319.916</v>
      </c>
      <c r="G6" s="33" t="s">
        <v>1275</v>
      </c>
      <c r="H6" s="34">
        <v>1992</v>
      </c>
      <c r="I6" s="35">
        <v>43831</v>
      </c>
      <c r="J6" s="35" t="s">
        <v>49</v>
      </c>
      <c r="K6" s="36">
        <v>2020</v>
      </c>
      <c r="L6" s="35" t="s">
        <v>45</v>
      </c>
      <c r="M6" s="37">
        <v>43860</v>
      </c>
      <c r="N6" s="37">
        <f t="shared" si="0"/>
        <v>45687</v>
      </c>
      <c r="O6" s="37" t="str">
        <f>VLOOKUP(D6,'[1]PZ a UTZ'!$C$341:$H$464,5,FALSE)</f>
        <v>PZ 0909/20-E.49</v>
      </c>
      <c r="P6" s="37">
        <f>VLOOKUP(D6,'[1]PZ a UTZ'!$C$341:$H$464,6,FALSE)</f>
        <v>43864</v>
      </c>
      <c r="Q6" s="37">
        <f>EDATE(P6,60)</f>
        <v>45691</v>
      </c>
      <c r="R6" s="243" t="s">
        <v>1485</v>
      </c>
      <c r="S6" s="259">
        <v>724644248</v>
      </c>
      <c r="T6" s="270" t="s">
        <v>1015</v>
      </c>
    </row>
    <row r="7" spans="2:20" ht="25.5" x14ac:dyDescent="0.25">
      <c r="B7" s="10">
        <v>6</v>
      </c>
      <c r="C7" s="38" t="s">
        <v>885</v>
      </c>
      <c r="D7" s="13" t="s">
        <v>44</v>
      </c>
      <c r="E7" s="39" t="s">
        <v>39</v>
      </c>
      <c r="F7" s="40">
        <v>332.61200000000002</v>
      </c>
      <c r="G7" s="41" t="s">
        <v>1276</v>
      </c>
      <c r="H7" s="42">
        <v>2020</v>
      </c>
      <c r="I7" s="43">
        <v>43862</v>
      </c>
      <c r="J7" s="44" t="s">
        <v>17</v>
      </c>
      <c r="K7" s="36">
        <v>2020</v>
      </c>
      <c r="L7" s="35" t="s">
        <v>45</v>
      </c>
      <c r="M7" s="37">
        <v>43867</v>
      </c>
      <c r="N7" s="37">
        <f t="shared" si="0"/>
        <v>45694</v>
      </c>
      <c r="O7" s="209"/>
      <c r="P7" s="209"/>
      <c r="Q7" s="209"/>
      <c r="R7" s="244" t="s">
        <v>1484</v>
      </c>
      <c r="S7" s="260">
        <v>724450266</v>
      </c>
      <c r="T7" s="271" t="s">
        <v>1642</v>
      </c>
    </row>
    <row r="8" spans="2:20" x14ac:dyDescent="0.25">
      <c r="B8" s="10">
        <v>7</v>
      </c>
      <c r="C8" s="38" t="s">
        <v>14</v>
      </c>
      <c r="D8" s="13" t="s">
        <v>44</v>
      </c>
      <c r="E8" s="39" t="s">
        <v>39</v>
      </c>
      <c r="F8" s="40">
        <v>332.59199999999998</v>
      </c>
      <c r="G8" s="41"/>
      <c r="H8" s="42">
        <v>2020</v>
      </c>
      <c r="I8" s="43">
        <v>43891</v>
      </c>
      <c r="J8" s="44" t="s">
        <v>17</v>
      </c>
      <c r="K8" s="36">
        <v>2020</v>
      </c>
      <c r="L8" s="35" t="s">
        <v>45</v>
      </c>
      <c r="M8" s="37">
        <v>43901</v>
      </c>
      <c r="N8" s="37">
        <f t="shared" si="0"/>
        <v>45727</v>
      </c>
      <c r="O8" s="37" t="str">
        <f>VLOOKUP(D8,'[1]PZ a UTZ'!$C$341:$H$464,5,FALSE)</f>
        <v>PZ 1739/20-E.49</v>
      </c>
      <c r="P8" s="37">
        <f>VLOOKUP(D8,'[1]PZ a UTZ'!$C$341:$H$464,6,FALSE)</f>
        <v>44084</v>
      </c>
      <c r="Q8" s="37">
        <f>EDATE(P8,60)</f>
        <v>45910</v>
      </c>
      <c r="R8" s="243" t="s">
        <v>1486</v>
      </c>
      <c r="S8" s="259">
        <v>724862431</v>
      </c>
      <c r="T8" s="272" t="s">
        <v>1642</v>
      </c>
    </row>
    <row r="9" spans="2:20" x14ac:dyDescent="0.25">
      <c r="B9" s="10">
        <v>8</v>
      </c>
      <c r="C9" s="45" t="s">
        <v>190</v>
      </c>
      <c r="D9" s="28" t="s">
        <v>718</v>
      </c>
      <c r="E9" s="46" t="s">
        <v>112</v>
      </c>
      <c r="F9" s="47">
        <v>49.180999999999997</v>
      </c>
      <c r="G9" s="47" t="s">
        <v>719</v>
      </c>
      <c r="H9" s="48">
        <v>1978</v>
      </c>
      <c r="I9" s="26">
        <v>43922</v>
      </c>
      <c r="J9" s="49" t="s">
        <v>120</v>
      </c>
      <c r="K9" s="48">
        <v>1978</v>
      </c>
      <c r="L9" s="26" t="s">
        <v>720</v>
      </c>
      <c r="M9" s="27">
        <v>43923</v>
      </c>
      <c r="N9" s="27">
        <f t="shared" si="0"/>
        <v>45749</v>
      </c>
      <c r="O9" s="27" t="str">
        <f>VLOOKUP(F9,'[1]PZ a UTZ'!$E$2:$H$335,3,FALSE)</f>
        <v>PZ 10317/96-E.49</v>
      </c>
      <c r="P9" s="27">
        <f>VLOOKUP(F9,'[1]PZ a UTZ'!$E$2:$H$335,4,FALSE)</f>
        <v>43843</v>
      </c>
      <c r="Q9" s="27">
        <f>EDATE(P9,60)</f>
        <v>45670</v>
      </c>
      <c r="R9" s="242" t="s">
        <v>1487</v>
      </c>
      <c r="S9" s="258">
        <v>725339123</v>
      </c>
      <c r="T9" s="273" t="s">
        <v>1205</v>
      </c>
    </row>
    <row r="10" spans="2:20" x14ac:dyDescent="0.25">
      <c r="B10" s="10">
        <v>9</v>
      </c>
      <c r="C10" s="50" t="s">
        <v>864</v>
      </c>
      <c r="D10" s="22" t="s">
        <v>754</v>
      </c>
      <c r="E10" s="51" t="s">
        <v>92</v>
      </c>
      <c r="F10" s="47">
        <v>24.292000000000002</v>
      </c>
      <c r="G10" s="47" t="s">
        <v>755</v>
      </c>
      <c r="H10" s="52">
        <v>1977</v>
      </c>
      <c r="I10" s="26">
        <v>43922</v>
      </c>
      <c r="J10" s="26" t="s">
        <v>40</v>
      </c>
      <c r="K10" s="25">
        <v>2010</v>
      </c>
      <c r="L10" s="26" t="s">
        <v>756</v>
      </c>
      <c r="M10" s="27">
        <v>43930</v>
      </c>
      <c r="N10" s="27">
        <f t="shared" si="0"/>
        <v>45756</v>
      </c>
      <c r="O10" s="27" t="str">
        <f>VLOOKUP(F10,'[1]PZ a UTZ'!$E$2:$H$335,3,FALSE)</f>
        <v>PZ 10162/96-E.49</v>
      </c>
      <c r="P10" s="27">
        <f>VLOOKUP(F10,'[1]PZ a UTZ'!$E$2:$H$335,4,FALSE)</f>
        <v>43970</v>
      </c>
      <c r="Q10" s="27">
        <f>EDATE(P10,60)</f>
        <v>45796</v>
      </c>
      <c r="R10" s="242" t="s">
        <v>1488</v>
      </c>
      <c r="S10" s="258">
        <v>724214681</v>
      </c>
      <c r="T10" s="274" t="s">
        <v>1222</v>
      </c>
    </row>
    <row r="11" spans="2:20" x14ac:dyDescent="0.25">
      <c r="B11" s="10">
        <v>10</v>
      </c>
      <c r="C11" s="53" t="s">
        <v>14</v>
      </c>
      <c r="D11" s="22" t="s">
        <v>142</v>
      </c>
      <c r="E11" s="46" t="s">
        <v>133</v>
      </c>
      <c r="F11" s="54">
        <v>387.01400000000001</v>
      </c>
      <c r="G11" s="47"/>
      <c r="H11" s="25">
        <v>2010</v>
      </c>
      <c r="I11" s="55">
        <v>43922</v>
      </c>
      <c r="J11" s="49" t="s">
        <v>17</v>
      </c>
      <c r="K11" s="56">
        <v>2009</v>
      </c>
      <c r="L11" s="26" t="s">
        <v>143</v>
      </c>
      <c r="M11" s="27">
        <v>43937</v>
      </c>
      <c r="N11" s="27">
        <f t="shared" si="0"/>
        <v>45763</v>
      </c>
      <c r="O11" s="27" t="str">
        <f>VLOOKUP(D11,'[1]PZ a UTZ'!$C$341:$H$464,5,FALSE)</f>
        <v>PZ 0194/10-E.49</v>
      </c>
      <c r="P11" s="27">
        <f>VLOOKUP(D11,'[1]PZ a UTZ'!$C$341:$H$464,6,FALSE)</f>
        <v>43937</v>
      </c>
      <c r="Q11" s="27">
        <f>EDATE(P11,60)</f>
        <v>45763</v>
      </c>
      <c r="R11" s="242" t="s">
        <v>1489</v>
      </c>
      <c r="S11" s="258">
        <v>725363407</v>
      </c>
      <c r="T11" s="274" t="s">
        <v>973</v>
      </c>
    </row>
    <row r="12" spans="2:20" x14ac:dyDescent="0.25">
      <c r="B12" s="10">
        <v>11</v>
      </c>
      <c r="C12" s="57" t="s">
        <v>885</v>
      </c>
      <c r="D12" s="58" t="s">
        <v>142</v>
      </c>
      <c r="E12" s="59" t="s">
        <v>133</v>
      </c>
      <c r="F12" s="60">
        <v>387.01400000000001</v>
      </c>
      <c r="G12" s="61" t="s">
        <v>1276</v>
      </c>
      <c r="H12" s="62">
        <v>2010</v>
      </c>
      <c r="I12" s="63">
        <v>43922</v>
      </c>
      <c r="J12" s="64" t="s">
        <v>17</v>
      </c>
      <c r="K12" s="65">
        <v>2010</v>
      </c>
      <c r="L12" s="66" t="s">
        <v>891</v>
      </c>
      <c r="M12" s="67">
        <v>43937</v>
      </c>
      <c r="N12" s="67">
        <f t="shared" si="0"/>
        <v>45763</v>
      </c>
      <c r="O12" s="209"/>
      <c r="P12" s="209"/>
      <c r="Q12" s="209"/>
      <c r="R12" s="245" t="s">
        <v>1489</v>
      </c>
      <c r="S12" s="261">
        <v>725363407</v>
      </c>
      <c r="T12" s="275" t="s">
        <v>973</v>
      </c>
    </row>
    <row r="13" spans="2:20" x14ac:dyDescent="0.25">
      <c r="B13" s="10">
        <v>12</v>
      </c>
      <c r="C13" s="68" t="s">
        <v>164</v>
      </c>
      <c r="D13" s="22" t="s">
        <v>1277</v>
      </c>
      <c r="E13" s="46" t="s">
        <v>133</v>
      </c>
      <c r="F13" s="69">
        <v>382.28699999999998</v>
      </c>
      <c r="G13" s="24" t="s">
        <v>1278</v>
      </c>
      <c r="H13" s="25">
        <v>2010</v>
      </c>
      <c r="I13" s="55">
        <v>43922</v>
      </c>
      <c r="J13" s="49" t="s">
        <v>17</v>
      </c>
      <c r="K13" s="25">
        <v>2010</v>
      </c>
      <c r="L13" s="26" t="s">
        <v>183</v>
      </c>
      <c r="M13" s="27">
        <v>43937</v>
      </c>
      <c r="N13" s="27">
        <f t="shared" si="0"/>
        <v>45763</v>
      </c>
      <c r="O13" s="27" t="e">
        <f>VLOOKUP(D13,'[1]PZ a UTZ'!B488:G581,5,FALSE)</f>
        <v>#N/A</v>
      </c>
      <c r="P13" s="27" t="e">
        <f>VLOOKUP(D13,'[1]PZ a UTZ'!B488:G581,6,FALSE)</f>
        <v>#N/A</v>
      </c>
      <c r="Q13" s="27" t="e">
        <f>EDATE(P13,60)</f>
        <v>#N/A</v>
      </c>
      <c r="R13" s="242" t="s">
        <v>1489</v>
      </c>
      <c r="S13" s="258">
        <v>725363407</v>
      </c>
      <c r="T13" s="276" t="s">
        <v>995</v>
      </c>
    </row>
    <row r="14" spans="2:20" x14ac:dyDescent="0.25">
      <c r="B14" s="10">
        <v>13</v>
      </c>
      <c r="C14" s="53" t="s">
        <v>14</v>
      </c>
      <c r="D14" s="22" t="s">
        <v>140</v>
      </c>
      <c r="E14" s="46" t="s">
        <v>133</v>
      </c>
      <c r="F14" s="54">
        <v>382.28699999999998</v>
      </c>
      <c r="G14" s="47"/>
      <c r="H14" s="25">
        <v>2010</v>
      </c>
      <c r="I14" s="55">
        <v>43922</v>
      </c>
      <c r="J14" s="49" t="s">
        <v>17</v>
      </c>
      <c r="K14" s="25">
        <v>2010</v>
      </c>
      <c r="L14" s="26" t="s">
        <v>141</v>
      </c>
      <c r="M14" s="27">
        <v>43942</v>
      </c>
      <c r="N14" s="27">
        <f t="shared" si="0"/>
        <v>45768</v>
      </c>
      <c r="O14" s="27" t="str">
        <f>VLOOKUP(D14,'[1]PZ a UTZ'!$C$341:$H$464,5,FALSE)</f>
        <v>PZ 0193/10-E.49</v>
      </c>
      <c r="P14" s="27">
        <f>VLOOKUP(D14,'[1]PZ a UTZ'!$C$341:$H$464,6,FALSE)</f>
        <v>43955</v>
      </c>
      <c r="Q14" s="27">
        <f>EDATE(P14,60)</f>
        <v>45781</v>
      </c>
      <c r="R14" s="242" t="s">
        <v>1490</v>
      </c>
      <c r="S14" s="258">
        <v>721654457</v>
      </c>
      <c r="T14" s="277" t="s">
        <v>972</v>
      </c>
    </row>
    <row r="15" spans="2:20" x14ac:dyDescent="0.25">
      <c r="B15" s="10">
        <v>14</v>
      </c>
      <c r="C15" s="57" t="s">
        <v>885</v>
      </c>
      <c r="D15" s="58" t="s">
        <v>140</v>
      </c>
      <c r="E15" s="59" t="s">
        <v>133</v>
      </c>
      <c r="F15" s="60">
        <v>382.28699999999998</v>
      </c>
      <c r="G15" s="61" t="s">
        <v>1276</v>
      </c>
      <c r="H15" s="62">
        <v>2008</v>
      </c>
      <c r="I15" s="63">
        <v>43922</v>
      </c>
      <c r="J15" s="64" t="s">
        <v>17</v>
      </c>
      <c r="K15" s="70">
        <v>2008</v>
      </c>
      <c r="L15" s="66" t="s">
        <v>886</v>
      </c>
      <c r="M15" s="67">
        <v>43942</v>
      </c>
      <c r="N15" s="67">
        <f t="shared" si="0"/>
        <v>45768</v>
      </c>
      <c r="O15" s="209"/>
      <c r="P15" s="209"/>
      <c r="Q15" s="209"/>
      <c r="R15" s="245" t="s">
        <v>1490</v>
      </c>
      <c r="S15" s="261">
        <v>721654457</v>
      </c>
      <c r="T15" s="275" t="s">
        <v>972</v>
      </c>
    </row>
    <row r="16" spans="2:20" x14ac:dyDescent="0.25">
      <c r="B16" s="10">
        <v>15</v>
      </c>
      <c r="C16" s="45" t="s">
        <v>190</v>
      </c>
      <c r="D16" s="22" t="s">
        <v>558</v>
      </c>
      <c r="E16" s="46" t="s">
        <v>94</v>
      </c>
      <c r="F16" s="47">
        <v>72.882999999999996</v>
      </c>
      <c r="G16" s="47" t="s">
        <v>559</v>
      </c>
      <c r="H16" s="48">
        <v>1996</v>
      </c>
      <c r="I16" s="49">
        <v>43952</v>
      </c>
      <c r="J16" s="26" t="s">
        <v>40</v>
      </c>
      <c r="K16" s="56">
        <v>2009</v>
      </c>
      <c r="L16" s="49" t="s">
        <v>560</v>
      </c>
      <c r="M16" s="27">
        <v>43958</v>
      </c>
      <c r="N16" s="27">
        <f t="shared" si="0"/>
        <v>45784</v>
      </c>
      <c r="O16" s="27" t="str">
        <f>VLOOKUP(F16,'[1]PZ a UTZ'!$E$2:$H$335,3,FALSE)</f>
        <v>PZ 2541/96-E.49</v>
      </c>
      <c r="P16" s="27">
        <f>VLOOKUP(F16,'[1]PZ a UTZ'!$E$2:$H$335,4,FALSE)</f>
        <v>43958</v>
      </c>
      <c r="Q16" s="27">
        <f t="shared" ref="Q16:Q52" si="1">EDATE(P16,60)</f>
        <v>45784</v>
      </c>
      <c r="R16" s="242" t="s">
        <v>1491</v>
      </c>
      <c r="S16" s="258">
        <v>725582090</v>
      </c>
      <c r="T16" s="274" t="s">
        <v>1141</v>
      </c>
    </row>
    <row r="17" spans="2:20" x14ac:dyDescent="0.25">
      <c r="B17" s="10">
        <v>16</v>
      </c>
      <c r="C17" s="45" t="s">
        <v>190</v>
      </c>
      <c r="D17" s="22" t="s">
        <v>555</v>
      </c>
      <c r="E17" s="46" t="s">
        <v>94</v>
      </c>
      <c r="F17" s="47">
        <v>74.257999999999996</v>
      </c>
      <c r="G17" s="47" t="s">
        <v>556</v>
      </c>
      <c r="H17" s="48">
        <v>1996</v>
      </c>
      <c r="I17" s="49">
        <v>43952</v>
      </c>
      <c r="J17" s="49" t="s">
        <v>120</v>
      </c>
      <c r="K17" s="56">
        <v>1996</v>
      </c>
      <c r="L17" s="49" t="s">
        <v>557</v>
      </c>
      <c r="M17" s="27">
        <v>43958</v>
      </c>
      <c r="N17" s="27">
        <f t="shared" si="0"/>
        <v>45784</v>
      </c>
      <c r="O17" s="27" t="str">
        <f>VLOOKUP(F17,'[1]PZ a UTZ'!$E$2:$H$335,3,FALSE)</f>
        <v>PZ 2542/96-E.49</v>
      </c>
      <c r="P17" s="27">
        <f>VLOOKUP(F17,'[1]PZ a UTZ'!$E$2:$H$335,4,FALSE)</f>
        <v>43958</v>
      </c>
      <c r="Q17" s="27">
        <f t="shared" si="1"/>
        <v>45784</v>
      </c>
      <c r="R17" s="242" t="s">
        <v>1491</v>
      </c>
      <c r="S17" s="258">
        <v>725582090</v>
      </c>
      <c r="T17" s="274" t="s">
        <v>1140</v>
      </c>
    </row>
    <row r="18" spans="2:20" x14ac:dyDescent="0.25">
      <c r="B18" s="10">
        <v>17</v>
      </c>
      <c r="C18" s="71" t="s">
        <v>190</v>
      </c>
      <c r="D18" s="30" t="s">
        <v>785</v>
      </c>
      <c r="E18" s="72" t="s">
        <v>772</v>
      </c>
      <c r="F18" s="73">
        <v>28.872</v>
      </c>
      <c r="G18" s="73" t="s">
        <v>1279</v>
      </c>
      <c r="H18" s="36">
        <v>2020</v>
      </c>
      <c r="I18" s="44">
        <v>43952</v>
      </c>
      <c r="J18" s="44" t="s">
        <v>124</v>
      </c>
      <c r="K18" s="36">
        <v>2020</v>
      </c>
      <c r="L18" s="35" t="s">
        <v>45</v>
      </c>
      <c r="M18" s="74">
        <v>43970</v>
      </c>
      <c r="N18" s="74">
        <f t="shared" si="0"/>
        <v>45796</v>
      </c>
      <c r="O18" s="37" t="str">
        <f>VLOOKUP(F18,'[1]PZ a UTZ'!$E$2:$H$335,3,FALSE)</f>
        <v>PZ 1011/20-E.49</v>
      </c>
      <c r="P18" s="37">
        <f>VLOOKUP(F18,'[1]PZ a UTZ'!$E$2:$H$335,4,FALSE)</f>
        <v>43971</v>
      </c>
      <c r="Q18" s="37">
        <f t="shared" si="1"/>
        <v>45797</v>
      </c>
      <c r="R18" s="243" t="s">
        <v>1492</v>
      </c>
      <c r="S18" s="259">
        <v>724214647</v>
      </c>
      <c r="T18" s="278" t="s">
        <v>1230</v>
      </c>
    </row>
    <row r="19" spans="2:20" x14ac:dyDescent="0.25">
      <c r="B19" s="10">
        <v>18</v>
      </c>
      <c r="C19" s="75" t="s">
        <v>190</v>
      </c>
      <c r="D19" s="22" t="s">
        <v>413</v>
      </c>
      <c r="E19" s="76" t="s">
        <v>25</v>
      </c>
      <c r="F19" s="77">
        <v>152.55099999999999</v>
      </c>
      <c r="G19" s="77" t="s">
        <v>414</v>
      </c>
      <c r="H19" s="78">
        <v>2005</v>
      </c>
      <c r="I19" s="79">
        <v>43952</v>
      </c>
      <c r="J19" s="49" t="s">
        <v>46</v>
      </c>
      <c r="K19" s="48">
        <v>2005</v>
      </c>
      <c r="L19" s="79" t="s">
        <v>415</v>
      </c>
      <c r="M19" s="27">
        <v>43972</v>
      </c>
      <c r="N19" s="27">
        <f t="shared" si="0"/>
        <v>45798</v>
      </c>
      <c r="O19" s="27" t="str">
        <f>VLOOKUP(F19,'[1]PZ a UTZ'!$E$2:$H$335,3,FALSE)</f>
        <v>PZ 2120/05-E.49</v>
      </c>
      <c r="P19" s="27">
        <f>VLOOKUP(F19,'[1]PZ a UTZ'!$E$2:$H$335,4,FALSE)</f>
        <v>43972</v>
      </c>
      <c r="Q19" s="27">
        <f t="shared" si="1"/>
        <v>45798</v>
      </c>
      <c r="R19" s="242" t="s">
        <v>1493</v>
      </c>
      <c r="S19" s="258">
        <v>602668264</v>
      </c>
      <c r="T19" s="279" t="s">
        <v>1085</v>
      </c>
    </row>
    <row r="20" spans="2:20" x14ac:dyDescent="0.25">
      <c r="B20" s="10">
        <v>19</v>
      </c>
      <c r="C20" s="75" t="s">
        <v>190</v>
      </c>
      <c r="D20" s="22" t="s">
        <v>416</v>
      </c>
      <c r="E20" s="80" t="s">
        <v>25</v>
      </c>
      <c r="F20" s="77">
        <v>153.054</v>
      </c>
      <c r="G20" s="77" t="s">
        <v>417</v>
      </c>
      <c r="H20" s="78">
        <v>2005</v>
      </c>
      <c r="I20" s="79">
        <v>43952</v>
      </c>
      <c r="J20" s="49" t="s">
        <v>46</v>
      </c>
      <c r="K20" s="48">
        <v>2005</v>
      </c>
      <c r="L20" s="79" t="s">
        <v>418</v>
      </c>
      <c r="M20" s="27">
        <v>43972</v>
      </c>
      <c r="N20" s="27">
        <f t="shared" si="0"/>
        <v>45798</v>
      </c>
      <c r="O20" s="27" t="str">
        <f>VLOOKUP(F20,'[1]PZ a UTZ'!$E$2:$H$335,3,FALSE)</f>
        <v>PZ 2121/05-E.49</v>
      </c>
      <c r="P20" s="27">
        <f>VLOOKUP(F20,'[1]PZ a UTZ'!$E$2:$H$335,4,FALSE)</f>
        <v>43972</v>
      </c>
      <c r="Q20" s="27">
        <f t="shared" si="1"/>
        <v>45798</v>
      </c>
      <c r="R20" s="242" t="s">
        <v>1493</v>
      </c>
      <c r="S20" s="258">
        <v>602668264</v>
      </c>
      <c r="T20" s="279" t="s">
        <v>1086</v>
      </c>
    </row>
    <row r="21" spans="2:20" x14ac:dyDescent="0.25">
      <c r="B21" s="10">
        <v>20</v>
      </c>
      <c r="C21" s="75" t="s">
        <v>190</v>
      </c>
      <c r="D21" s="22" t="s">
        <v>416</v>
      </c>
      <c r="E21" s="80" t="s">
        <v>25</v>
      </c>
      <c r="F21" s="77">
        <v>153.37899999999999</v>
      </c>
      <c r="G21" s="77" t="s">
        <v>419</v>
      </c>
      <c r="H21" s="78">
        <v>2005</v>
      </c>
      <c r="I21" s="79">
        <v>43952</v>
      </c>
      <c r="J21" s="49" t="s">
        <v>46</v>
      </c>
      <c r="K21" s="48">
        <v>2005</v>
      </c>
      <c r="L21" s="79" t="s">
        <v>420</v>
      </c>
      <c r="M21" s="27">
        <v>43972</v>
      </c>
      <c r="N21" s="27">
        <f t="shared" si="0"/>
        <v>45798</v>
      </c>
      <c r="O21" s="27" t="str">
        <f>VLOOKUP(F21,'[1]PZ a UTZ'!$E$2:$H$335,3,FALSE)</f>
        <v>PZ 2122/05-E.49</v>
      </c>
      <c r="P21" s="27">
        <f>VLOOKUP(F21,'[1]PZ a UTZ'!$E$2:$H$335,4,FALSE)</f>
        <v>43972</v>
      </c>
      <c r="Q21" s="27">
        <f t="shared" si="1"/>
        <v>45798</v>
      </c>
      <c r="R21" s="242" t="s">
        <v>1493</v>
      </c>
      <c r="S21" s="258">
        <v>602668264</v>
      </c>
      <c r="T21" s="279" t="s">
        <v>1087</v>
      </c>
    </row>
    <row r="22" spans="2:20" x14ac:dyDescent="0.25">
      <c r="B22" s="10">
        <v>21</v>
      </c>
      <c r="C22" s="81" t="s">
        <v>190</v>
      </c>
      <c r="D22" s="22" t="s">
        <v>32</v>
      </c>
      <c r="E22" s="23" t="s">
        <v>25</v>
      </c>
      <c r="F22" s="24">
        <v>32.143999999999998</v>
      </c>
      <c r="G22" s="24" t="s">
        <v>386</v>
      </c>
      <c r="H22" s="34">
        <v>2015</v>
      </c>
      <c r="I22" s="79">
        <v>43952</v>
      </c>
      <c r="J22" s="26" t="s">
        <v>42</v>
      </c>
      <c r="K22" s="82">
        <v>2015</v>
      </c>
      <c r="L22" s="79" t="s">
        <v>387</v>
      </c>
      <c r="M22" s="27">
        <v>43978</v>
      </c>
      <c r="N22" s="27">
        <f t="shared" si="0"/>
        <v>45804</v>
      </c>
      <c r="O22" s="27" t="str">
        <f>VLOOKUP(F22,'[1]PZ a UTZ'!$E$2:$H$335,3,FALSE)</f>
        <v>PZ 1716/15-E.49</v>
      </c>
      <c r="P22" s="27">
        <f>VLOOKUP(F22,'[1]PZ a UTZ'!$E$2:$H$335,4,FALSE)</f>
        <v>43936</v>
      </c>
      <c r="Q22" s="27">
        <f t="shared" si="1"/>
        <v>45762</v>
      </c>
      <c r="R22" s="242" t="s">
        <v>1494</v>
      </c>
      <c r="S22" s="258">
        <v>602117762</v>
      </c>
      <c r="T22" s="268" t="s">
        <v>1076</v>
      </c>
    </row>
    <row r="23" spans="2:20" x14ac:dyDescent="0.25">
      <c r="B23" s="10">
        <v>22</v>
      </c>
      <c r="C23" s="83" t="s">
        <v>190</v>
      </c>
      <c r="D23" s="30" t="s">
        <v>366</v>
      </c>
      <c r="E23" s="72" t="s">
        <v>25</v>
      </c>
      <c r="F23" s="84">
        <v>9.8480000000000008</v>
      </c>
      <c r="G23" s="84" t="s">
        <v>367</v>
      </c>
      <c r="H23" s="34">
        <v>1979</v>
      </c>
      <c r="I23" s="35">
        <v>43983</v>
      </c>
      <c r="J23" s="35" t="s">
        <v>1280</v>
      </c>
      <c r="K23" s="85" t="s">
        <v>1281</v>
      </c>
      <c r="L23" s="35" t="s">
        <v>368</v>
      </c>
      <c r="M23" s="37">
        <v>43985</v>
      </c>
      <c r="N23" s="37">
        <f t="shared" si="0"/>
        <v>45811</v>
      </c>
      <c r="O23" s="37" t="str">
        <f>VLOOKUP(F23,'[1]PZ a UTZ'!$E$2:$H$335,3,FALSE)</f>
        <v>PZ 4325/97-E.49</v>
      </c>
      <c r="P23" s="37">
        <f>VLOOKUP(F23,'[1]PZ a UTZ'!$E$2:$H$335,4,FALSE)</f>
        <v>43985</v>
      </c>
      <c r="Q23" s="37">
        <f t="shared" si="1"/>
        <v>45811</v>
      </c>
      <c r="R23" s="243" t="s">
        <v>1493</v>
      </c>
      <c r="S23" s="259">
        <v>602668264</v>
      </c>
      <c r="T23" s="270" t="s">
        <v>1068</v>
      </c>
    </row>
    <row r="24" spans="2:20" x14ac:dyDescent="0.25">
      <c r="B24" s="10">
        <v>23</v>
      </c>
      <c r="C24" s="81" t="s">
        <v>190</v>
      </c>
      <c r="D24" s="22" t="s">
        <v>27</v>
      </c>
      <c r="E24" s="46" t="s">
        <v>25</v>
      </c>
      <c r="F24" s="24">
        <v>10.513</v>
      </c>
      <c r="G24" s="24" t="s">
        <v>369</v>
      </c>
      <c r="H24" s="34">
        <v>1979</v>
      </c>
      <c r="I24" s="26">
        <v>43983</v>
      </c>
      <c r="J24" s="26" t="s">
        <v>370</v>
      </c>
      <c r="K24" s="86">
        <v>2009</v>
      </c>
      <c r="L24" s="26" t="s">
        <v>371</v>
      </c>
      <c r="M24" s="27">
        <v>43985</v>
      </c>
      <c r="N24" s="27">
        <f t="shared" si="0"/>
        <v>45811</v>
      </c>
      <c r="O24" s="27" t="str">
        <f>VLOOKUP(F24,'[1]PZ a UTZ'!$E$2:$H$335,3,FALSE)</f>
        <v>PZ 4324/97-E.49</v>
      </c>
      <c r="P24" s="27">
        <f>VLOOKUP(F24,'[1]PZ a UTZ'!$E$2:$H$335,4,FALSE)</f>
        <v>44004</v>
      </c>
      <c r="Q24" s="27">
        <f t="shared" si="1"/>
        <v>45830</v>
      </c>
      <c r="R24" s="242" t="s">
        <v>1493</v>
      </c>
      <c r="S24" s="258">
        <v>602668264</v>
      </c>
      <c r="T24" s="268" t="s">
        <v>1069</v>
      </c>
    </row>
    <row r="25" spans="2:20" x14ac:dyDescent="0.25">
      <c r="B25" s="10">
        <v>24</v>
      </c>
      <c r="C25" s="45" t="s">
        <v>190</v>
      </c>
      <c r="D25" s="22" t="s">
        <v>450</v>
      </c>
      <c r="E25" s="46" t="s">
        <v>63</v>
      </c>
      <c r="F25" s="87">
        <v>142.86099999999999</v>
      </c>
      <c r="G25" s="47" t="s">
        <v>1282</v>
      </c>
      <c r="H25" s="56">
        <v>1997</v>
      </c>
      <c r="I25" s="26">
        <v>43983</v>
      </c>
      <c r="J25" s="26" t="s">
        <v>42</v>
      </c>
      <c r="K25" s="86">
        <v>1997</v>
      </c>
      <c r="L25" s="26" t="s">
        <v>452</v>
      </c>
      <c r="M25" s="27">
        <v>43992</v>
      </c>
      <c r="N25" s="27">
        <f t="shared" si="0"/>
        <v>45818</v>
      </c>
      <c r="O25" s="27" t="s">
        <v>1495</v>
      </c>
      <c r="P25" s="27">
        <v>44743</v>
      </c>
      <c r="Q25" s="27">
        <f t="shared" si="1"/>
        <v>46569</v>
      </c>
      <c r="R25" s="242" t="s">
        <v>1496</v>
      </c>
      <c r="S25" s="258">
        <v>601375102</v>
      </c>
      <c r="T25" s="274" t="s">
        <v>1101</v>
      </c>
    </row>
    <row r="26" spans="2:20" x14ac:dyDescent="0.25">
      <c r="B26" s="10">
        <v>25</v>
      </c>
      <c r="C26" s="53" t="s">
        <v>14</v>
      </c>
      <c r="D26" s="22" t="s">
        <v>62</v>
      </c>
      <c r="E26" s="46" t="s">
        <v>63</v>
      </c>
      <c r="F26" s="54">
        <v>117.398</v>
      </c>
      <c r="G26" s="47" t="s">
        <v>1283</v>
      </c>
      <c r="H26" s="48">
        <v>1975</v>
      </c>
      <c r="I26" s="49">
        <v>43983</v>
      </c>
      <c r="J26" s="49" t="s">
        <v>46</v>
      </c>
      <c r="K26" s="48">
        <v>2013</v>
      </c>
      <c r="L26" s="49" t="s">
        <v>64</v>
      </c>
      <c r="M26" s="27">
        <v>43993</v>
      </c>
      <c r="N26" s="27">
        <f t="shared" si="0"/>
        <v>45819</v>
      </c>
      <c r="O26" s="27" t="str">
        <f>VLOOKUP(D26,'[1]PZ a UTZ'!$C$341:$H$464,5,FALSE)</f>
        <v>PZ 10164/96-E.49</v>
      </c>
      <c r="P26" s="27">
        <f>VLOOKUP(D26,'[1]PZ a UTZ'!$C$341:$H$464,6,FALSE)</f>
        <v>44327</v>
      </c>
      <c r="Q26" s="27">
        <f t="shared" si="1"/>
        <v>46153</v>
      </c>
      <c r="R26" s="242" t="s">
        <v>1497</v>
      </c>
      <c r="S26" s="258">
        <v>724862430</v>
      </c>
      <c r="T26" s="274" t="s">
        <v>939</v>
      </c>
    </row>
    <row r="27" spans="2:20" x14ac:dyDescent="0.25">
      <c r="B27" s="10">
        <v>26</v>
      </c>
      <c r="C27" s="71" t="s">
        <v>190</v>
      </c>
      <c r="D27" s="88" t="s">
        <v>122</v>
      </c>
      <c r="E27" s="72" t="s">
        <v>112</v>
      </c>
      <c r="F27" s="73">
        <v>23.084</v>
      </c>
      <c r="G27" s="73" t="s">
        <v>686</v>
      </c>
      <c r="H27" s="89">
        <v>2020</v>
      </c>
      <c r="I27" s="35">
        <v>43983</v>
      </c>
      <c r="J27" s="35" t="s">
        <v>124</v>
      </c>
      <c r="K27" s="85">
        <v>2020</v>
      </c>
      <c r="L27" s="35" t="s">
        <v>45</v>
      </c>
      <c r="M27" s="37">
        <v>43998</v>
      </c>
      <c r="N27" s="37">
        <f t="shared" si="0"/>
        <v>45824</v>
      </c>
      <c r="O27" s="37" t="str">
        <f>VLOOKUP(F27,'[1]PZ a UTZ'!$E$2:$H$335,3,FALSE)</f>
        <v>PZ 1047/20-E.49</v>
      </c>
      <c r="P27" s="37">
        <f>VLOOKUP(F27,'[1]PZ a UTZ'!$E$2:$H$335,4,FALSE)</f>
        <v>43998</v>
      </c>
      <c r="Q27" s="37">
        <f t="shared" si="1"/>
        <v>45824</v>
      </c>
      <c r="R27" s="243" t="s">
        <v>1498</v>
      </c>
      <c r="S27" s="259">
        <v>725339124</v>
      </c>
      <c r="T27" s="278" t="s">
        <v>1184</v>
      </c>
    </row>
    <row r="28" spans="2:20" x14ac:dyDescent="0.25">
      <c r="B28" s="10">
        <v>27</v>
      </c>
      <c r="C28" s="90" t="s">
        <v>90</v>
      </c>
      <c r="D28" s="91" t="s">
        <v>78</v>
      </c>
      <c r="E28" s="46" t="s">
        <v>63</v>
      </c>
      <c r="F28" s="54">
        <v>156.96</v>
      </c>
      <c r="G28" s="47" t="s">
        <v>1284</v>
      </c>
      <c r="H28" s="48">
        <v>1960</v>
      </c>
      <c r="I28" s="49">
        <v>43983</v>
      </c>
      <c r="J28" s="49" t="s">
        <v>79</v>
      </c>
      <c r="K28" s="56" t="s">
        <v>80</v>
      </c>
      <c r="L28" s="49" t="s">
        <v>81</v>
      </c>
      <c r="M28" s="27">
        <v>44000</v>
      </c>
      <c r="N28" s="27">
        <f t="shared" si="0"/>
        <v>45826</v>
      </c>
      <c r="O28" s="27" t="s">
        <v>1499</v>
      </c>
      <c r="P28" s="27">
        <v>44340</v>
      </c>
      <c r="Q28" s="27">
        <f t="shared" si="1"/>
        <v>46166</v>
      </c>
      <c r="R28" s="242" t="s">
        <v>1496</v>
      </c>
      <c r="S28" s="258">
        <v>601375102</v>
      </c>
      <c r="T28" s="274" t="s">
        <v>945</v>
      </c>
    </row>
    <row r="29" spans="2:20" x14ac:dyDescent="0.25">
      <c r="B29" s="10">
        <v>28</v>
      </c>
      <c r="C29" s="92" t="s">
        <v>190</v>
      </c>
      <c r="D29" s="22" t="s">
        <v>78</v>
      </c>
      <c r="E29" s="46" t="s">
        <v>63</v>
      </c>
      <c r="F29" s="47">
        <v>156.256</v>
      </c>
      <c r="G29" s="47" t="s">
        <v>467</v>
      </c>
      <c r="H29" s="52">
        <v>1985</v>
      </c>
      <c r="I29" s="49">
        <v>43983</v>
      </c>
      <c r="J29" s="49" t="s">
        <v>46</v>
      </c>
      <c r="K29" s="48">
        <v>2014</v>
      </c>
      <c r="L29" s="49" t="s">
        <v>468</v>
      </c>
      <c r="M29" s="27">
        <v>44001</v>
      </c>
      <c r="N29" s="27">
        <f t="shared" si="0"/>
        <v>45827</v>
      </c>
      <c r="O29" s="27" t="s">
        <v>1500</v>
      </c>
      <c r="P29" s="27">
        <v>44340</v>
      </c>
      <c r="Q29" s="27">
        <f t="shared" si="1"/>
        <v>46166</v>
      </c>
      <c r="R29" s="242" t="s">
        <v>1496</v>
      </c>
      <c r="S29" s="258">
        <v>601375102</v>
      </c>
      <c r="T29" s="274" t="s">
        <v>1108</v>
      </c>
    </row>
    <row r="30" spans="2:20" x14ac:dyDescent="0.25">
      <c r="B30" s="10">
        <v>29</v>
      </c>
      <c r="C30" s="92" t="s">
        <v>190</v>
      </c>
      <c r="D30" s="22" t="s">
        <v>78</v>
      </c>
      <c r="E30" s="46" t="s">
        <v>63</v>
      </c>
      <c r="F30" s="47">
        <v>157.25899999999999</v>
      </c>
      <c r="G30" s="47" t="s">
        <v>469</v>
      </c>
      <c r="H30" s="52">
        <v>1985</v>
      </c>
      <c r="I30" s="49">
        <v>43983</v>
      </c>
      <c r="J30" s="49" t="s">
        <v>46</v>
      </c>
      <c r="K30" s="48">
        <v>2013</v>
      </c>
      <c r="L30" s="49" t="s">
        <v>470</v>
      </c>
      <c r="M30" s="27">
        <v>44001</v>
      </c>
      <c r="N30" s="27">
        <f t="shared" si="0"/>
        <v>45827</v>
      </c>
      <c r="O30" s="27" t="s">
        <v>1501</v>
      </c>
      <c r="P30" s="27">
        <v>44340</v>
      </c>
      <c r="Q30" s="27">
        <f t="shared" si="1"/>
        <v>46166</v>
      </c>
      <c r="R30" s="242" t="s">
        <v>1502</v>
      </c>
      <c r="S30" s="258">
        <v>724862388</v>
      </c>
      <c r="T30" s="274" t="s">
        <v>1109</v>
      </c>
    </row>
    <row r="31" spans="2:20" x14ac:dyDescent="0.25">
      <c r="B31" s="10">
        <v>30</v>
      </c>
      <c r="C31" s="75" t="s">
        <v>190</v>
      </c>
      <c r="D31" s="22" t="s">
        <v>388</v>
      </c>
      <c r="E31" s="76" t="s">
        <v>25</v>
      </c>
      <c r="F31" s="77">
        <v>137.77500000000001</v>
      </c>
      <c r="G31" s="77" t="s">
        <v>389</v>
      </c>
      <c r="H31" s="78">
        <v>2005</v>
      </c>
      <c r="I31" s="79">
        <v>43983</v>
      </c>
      <c r="J31" s="49" t="s">
        <v>17</v>
      </c>
      <c r="K31" s="48">
        <v>2005</v>
      </c>
      <c r="L31" s="79" t="s">
        <v>390</v>
      </c>
      <c r="M31" s="27">
        <v>44005</v>
      </c>
      <c r="N31" s="27">
        <f t="shared" si="0"/>
        <v>45831</v>
      </c>
      <c r="O31" s="27" t="str">
        <f>VLOOKUP(F31,'[1]PZ a UTZ'!$E$2:$H$335,3,FALSE)</f>
        <v>PZ 2123/05-E.49</v>
      </c>
      <c r="P31" s="27">
        <f>VLOOKUP(F31,'[1]PZ a UTZ'!$E$2:$H$335,4,FALSE)</f>
        <v>43976</v>
      </c>
      <c r="Q31" s="27">
        <f t="shared" si="1"/>
        <v>45802</v>
      </c>
      <c r="R31" s="242" t="s">
        <v>1494</v>
      </c>
      <c r="S31" s="258">
        <v>602117762</v>
      </c>
      <c r="T31" s="279" t="s">
        <v>1077</v>
      </c>
    </row>
    <row r="32" spans="2:20" x14ac:dyDescent="0.25">
      <c r="B32" s="10">
        <v>31</v>
      </c>
      <c r="C32" s="75" t="s">
        <v>190</v>
      </c>
      <c r="D32" s="22" t="s">
        <v>398</v>
      </c>
      <c r="E32" s="80" t="s">
        <v>25</v>
      </c>
      <c r="F32" s="77">
        <v>145.935</v>
      </c>
      <c r="G32" s="77" t="s">
        <v>399</v>
      </c>
      <c r="H32" s="78">
        <v>2005</v>
      </c>
      <c r="I32" s="79">
        <v>43983</v>
      </c>
      <c r="J32" s="49" t="s">
        <v>46</v>
      </c>
      <c r="K32" s="48">
        <v>2005</v>
      </c>
      <c r="L32" s="79" t="s">
        <v>400</v>
      </c>
      <c r="M32" s="27">
        <v>44005</v>
      </c>
      <c r="N32" s="27">
        <f t="shared" si="0"/>
        <v>45831</v>
      </c>
      <c r="O32" s="27" t="str">
        <f>VLOOKUP(F32,'[1]PZ a UTZ'!$E$2:$H$335,3,FALSE)</f>
        <v>PZ 2118/05-E.49</v>
      </c>
      <c r="P32" s="27">
        <f>VLOOKUP(F32,'[1]PZ a UTZ'!$E$2:$H$335,4,FALSE)</f>
        <v>43977</v>
      </c>
      <c r="Q32" s="27">
        <f t="shared" si="1"/>
        <v>45803</v>
      </c>
      <c r="R32" s="242" t="s">
        <v>1493</v>
      </c>
      <c r="S32" s="258">
        <v>602668264</v>
      </c>
      <c r="T32" s="279" t="s">
        <v>1080</v>
      </c>
    </row>
    <row r="33" spans="2:20" x14ac:dyDescent="0.25">
      <c r="B33" s="10">
        <v>32</v>
      </c>
      <c r="C33" s="75" t="s">
        <v>190</v>
      </c>
      <c r="D33" s="22" t="s">
        <v>396</v>
      </c>
      <c r="E33" s="80" t="s">
        <v>25</v>
      </c>
      <c r="F33" s="93">
        <v>143.67599999999999</v>
      </c>
      <c r="G33" s="77" t="s">
        <v>1285</v>
      </c>
      <c r="H33" s="78">
        <v>2005</v>
      </c>
      <c r="I33" s="79">
        <v>43983</v>
      </c>
      <c r="J33" s="49" t="s">
        <v>46</v>
      </c>
      <c r="K33" s="48">
        <v>2005</v>
      </c>
      <c r="L33" s="79" t="s">
        <v>397</v>
      </c>
      <c r="M33" s="27">
        <v>44005</v>
      </c>
      <c r="N33" s="27">
        <f t="shared" si="0"/>
        <v>45831</v>
      </c>
      <c r="O33" s="27" t="s">
        <v>1503</v>
      </c>
      <c r="P33" s="27">
        <v>43977</v>
      </c>
      <c r="Q33" s="27">
        <f t="shared" si="1"/>
        <v>45803</v>
      </c>
      <c r="R33" s="242" t="s">
        <v>1493</v>
      </c>
      <c r="S33" s="258">
        <v>602668264</v>
      </c>
      <c r="T33" s="279" t="s">
        <v>1079</v>
      </c>
    </row>
    <row r="34" spans="2:20" x14ac:dyDescent="0.25">
      <c r="B34" s="10">
        <v>33</v>
      </c>
      <c r="C34" s="68" t="s">
        <v>164</v>
      </c>
      <c r="D34" s="22" t="s">
        <v>1286</v>
      </c>
      <c r="E34" s="46" t="s">
        <v>133</v>
      </c>
      <c r="F34" s="54">
        <v>403.899</v>
      </c>
      <c r="G34" s="24" t="s">
        <v>1287</v>
      </c>
      <c r="H34" s="25">
        <v>2010</v>
      </c>
      <c r="I34" s="79">
        <v>43983</v>
      </c>
      <c r="J34" s="49" t="s">
        <v>17</v>
      </c>
      <c r="K34" s="25">
        <v>2010</v>
      </c>
      <c r="L34" s="79" t="s">
        <v>187</v>
      </c>
      <c r="M34" s="27">
        <v>44007</v>
      </c>
      <c r="N34" s="27">
        <f t="shared" si="0"/>
        <v>45833</v>
      </c>
      <c r="O34" s="27" t="e">
        <f>VLOOKUP(D34,'[1]PZ a UTZ'!B492:G585,5,FALSE)</f>
        <v>#N/A</v>
      </c>
      <c r="P34" s="27" t="e">
        <f>VLOOKUP(D34,'[1]PZ a UTZ'!B492:G585,6,FALSE)</f>
        <v>#N/A</v>
      </c>
      <c r="Q34" s="27" t="e">
        <f t="shared" si="1"/>
        <v>#N/A</v>
      </c>
      <c r="R34" s="242" t="s">
        <v>1504</v>
      </c>
      <c r="S34" s="258">
        <v>725582094</v>
      </c>
      <c r="T34" s="280" t="s">
        <v>999</v>
      </c>
    </row>
    <row r="35" spans="2:20" x14ac:dyDescent="0.25">
      <c r="B35" s="10">
        <v>34</v>
      </c>
      <c r="C35" s="71" t="s">
        <v>190</v>
      </c>
      <c r="D35" s="30" t="s">
        <v>91</v>
      </c>
      <c r="E35" s="94" t="s">
        <v>92</v>
      </c>
      <c r="F35" s="73">
        <v>7.6929999999999996</v>
      </c>
      <c r="G35" s="73" t="s">
        <v>742</v>
      </c>
      <c r="H35" s="36">
        <v>2020</v>
      </c>
      <c r="I35" s="44">
        <v>43983</v>
      </c>
      <c r="J35" s="44" t="s">
        <v>42</v>
      </c>
      <c r="K35" s="36">
        <v>2020</v>
      </c>
      <c r="L35" s="35" t="s">
        <v>45</v>
      </c>
      <c r="M35" s="37">
        <v>44011</v>
      </c>
      <c r="N35" s="37">
        <f t="shared" si="0"/>
        <v>45837</v>
      </c>
      <c r="O35" s="37" t="str">
        <f>VLOOKUP(F35,'[1]PZ a UTZ'!$E$2:$H$335,3,FALSE)</f>
        <v>PZ 0756/20-E.49</v>
      </c>
      <c r="P35" s="37">
        <f>VLOOKUP(F35,'[1]PZ a UTZ'!$E$2:$H$335,4,FALSE)</f>
        <v>44013</v>
      </c>
      <c r="Q35" s="37">
        <f t="shared" si="1"/>
        <v>45839</v>
      </c>
      <c r="R35" s="243" t="s">
        <v>1505</v>
      </c>
      <c r="S35" s="259">
        <v>724644317</v>
      </c>
      <c r="T35" s="278" t="s">
        <v>1216</v>
      </c>
    </row>
    <row r="36" spans="2:20" x14ac:dyDescent="0.25">
      <c r="B36" s="10">
        <v>35</v>
      </c>
      <c r="C36" s="45" t="s">
        <v>190</v>
      </c>
      <c r="D36" s="22" t="s">
        <v>721</v>
      </c>
      <c r="E36" s="46" t="s">
        <v>112</v>
      </c>
      <c r="F36" s="47">
        <v>50.353999999999999</v>
      </c>
      <c r="G36" s="47" t="s">
        <v>722</v>
      </c>
      <c r="H36" s="56">
        <v>2005</v>
      </c>
      <c r="I36" s="49">
        <v>44013</v>
      </c>
      <c r="J36" s="49" t="s">
        <v>46</v>
      </c>
      <c r="K36" s="48">
        <v>2005</v>
      </c>
      <c r="L36" s="49" t="s">
        <v>723</v>
      </c>
      <c r="M36" s="27">
        <v>44014</v>
      </c>
      <c r="N36" s="27">
        <f t="shared" si="0"/>
        <v>45840</v>
      </c>
      <c r="O36" s="27" t="str">
        <f>VLOOKUP(F36,'[1]PZ a UTZ'!$E$2:$H$335,3,FALSE)</f>
        <v>PZ 2146/05-E.49</v>
      </c>
      <c r="P36" s="27">
        <f>VLOOKUP(F36,'[1]PZ a UTZ'!$E$2:$H$335,4,FALSE)</f>
        <v>44014</v>
      </c>
      <c r="Q36" s="27">
        <f t="shared" si="1"/>
        <v>45840</v>
      </c>
      <c r="R36" s="242" t="s">
        <v>1487</v>
      </c>
      <c r="S36" s="258">
        <v>725339123</v>
      </c>
      <c r="T36" s="274" t="s">
        <v>1206</v>
      </c>
    </row>
    <row r="37" spans="2:20" x14ac:dyDescent="0.25">
      <c r="B37" s="10">
        <v>36</v>
      </c>
      <c r="C37" s="45" t="s">
        <v>190</v>
      </c>
      <c r="D37" s="22" t="s">
        <v>721</v>
      </c>
      <c r="E37" s="46" t="s">
        <v>112</v>
      </c>
      <c r="F37" s="47">
        <v>51.646999999999998</v>
      </c>
      <c r="G37" s="47" t="s">
        <v>724</v>
      </c>
      <c r="H37" s="48">
        <v>1979</v>
      </c>
      <c r="I37" s="49">
        <v>44013</v>
      </c>
      <c r="J37" s="49" t="s">
        <v>77</v>
      </c>
      <c r="K37" s="56">
        <v>2018</v>
      </c>
      <c r="L37" s="49" t="s">
        <v>725</v>
      </c>
      <c r="M37" s="27">
        <v>44014</v>
      </c>
      <c r="N37" s="27">
        <f t="shared" si="0"/>
        <v>45840</v>
      </c>
      <c r="O37" s="27" t="str">
        <f>VLOOKUP(F37,'[1]PZ a UTZ'!$E$2:$H$335,3,FALSE)</f>
        <v>PZ 10319/96-E.49</v>
      </c>
      <c r="P37" s="27">
        <f>VLOOKUP(F37,'[1]PZ a UTZ'!$E$2:$H$335,4,FALSE)</f>
        <v>44014</v>
      </c>
      <c r="Q37" s="27">
        <f t="shared" si="1"/>
        <v>45840</v>
      </c>
      <c r="R37" s="242" t="s">
        <v>1487</v>
      </c>
      <c r="S37" s="258">
        <v>725339123</v>
      </c>
      <c r="T37" s="274" t="s">
        <v>1207</v>
      </c>
    </row>
    <row r="38" spans="2:20" x14ac:dyDescent="0.25">
      <c r="B38" s="10">
        <v>37</v>
      </c>
      <c r="C38" s="45" t="s">
        <v>190</v>
      </c>
      <c r="D38" s="22" t="s">
        <v>726</v>
      </c>
      <c r="E38" s="46" t="s">
        <v>112</v>
      </c>
      <c r="F38" s="47">
        <v>54.128</v>
      </c>
      <c r="G38" s="47" t="s">
        <v>731</v>
      </c>
      <c r="H38" s="95">
        <v>1996</v>
      </c>
      <c r="I38" s="49">
        <v>44013</v>
      </c>
      <c r="J38" s="49" t="s">
        <v>77</v>
      </c>
      <c r="K38" s="56">
        <v>2019</v>
      </c>
      <c r="L38" s="96" t="s">
        <v>732</v>
      </c>
      <c r="M38" s="97">
        <v>44014</v>
      </c>
      <c r="N38" s="97">
        <f t="shared" si="0"/>
        <v>45840</v>
      </c>
      <c r="O38" s="27" t="str">
        <f>VLOOKUP(F38,'[1]PZ a UTZ'!$E$2:$H$335,3,FALSE)</f>
        <v>PZ 0534/96-E.49</v>
      </c>
      <c r="P38" s="27">
        <f>VLOOKUP(F38,'[1]PZ a UTZ'!$E$2:$H$335,4,FALSE)</f>
        <v>44014</v>
      </c>
      <c r="Q38" s="27">
        <f t="shared" si="1"/>
        <v>45840</v>
      </c>
      <c r="R38" s="242" t="s">
        <v>1487</v>
      </c>
      <c r="S38" s="258">
        <v>725339123</v>
      </c>
      <c r="T38" s="274" t="s">
        <v>1210</v>
      </c>
    </row>
    <row r="39" spans="2:20" x14ac:dyDescent="0.25">
      <c r="B39" s="10">
        <v>38</v>
      </c>
      <c r="C39" s="75" t="s">
        <v>190</v>
      </c>
      <c r="D39" s="22" t="s">
        <v>401</v>
      </c>
      <c r="E39" s="80" t="s">
        <v>25</v>
      </c>
      <c r="F39" s="77">
        <v>146.09100000000001</v>
      </c>
      <c r="G39" s="77" t="s">
        <v>402</v>
      </c>
      <c r="H39" s="78">
        <v>2005</v>
      </c>
      <c r="I39" s="49">
        <v>44013</v>
      </c>
      <c r="J39" s="49" t="s">
        <v>46</v>
      </c>
      <c r="K39" s="48">
        <v>2005</v>
      </c>
      <c r="L39" s="49" t="s">
        <v>403</v>
      </c>
      <c r="M39" s="27">
        <v>44019</v>
      </c>
      <c r="N39" s="27">
        <f t="shared" si="0"/>
        <v>45845</v>
      </c>
      <c r="O39" s="27" t="str">
        <f>VLOOKUP(F39,'[1]PZ a UTZ'!$E$2:$H$335,3,FALSE)</f>
        <v>PZ 2119/05-E.49</v>
      </c>
      <c r="P39" s="27">
        <f>VLOOKUP(F39,'[1]PZ a UTZ'!$E$2:$H$335,4,FALSE)</f>
        <v>43977</v>
      </c>
      <c r="Q39" s="27">
        <f t="shared" si="1"/>
        <v>45803</v>
      </c>
      <c r="R39" s="242" t="s">
        <v>1493</v>
      </c>
      <c r="S39" s="258">
        <v>602668264</v>
      </c>
      <c r="T39" s="279" t="s">
        <v>1081</v>
      </c>
    </row>
    <row r="40" spans="2:20" x14ac:dyDescent="0.25">
      <c r="B40" s="10">
        <v>39</v>
      </c>
      <c r="C40" s="75" t="s">
        <v>190</v>
      </c>
      <c r="D40" s="22" t="s">
        <v>404</v>
      </c>
      <c r="E40" s="80" t="s">
        <v>25</v>
      </c>
      <c r="F40" s="77">
        <v>146.80699999999999</v>
      </c>
      <c r="G40" s="77" t="s">
        <v>405</v>
      </c>
      <c r="H40" s="78">
        <v>2005</v>
      </c>
      <c r="I40" s="49">
        <v>44013</v>
      </c>
      <c r="J40" s="49" t="s">
        <v>17</v>
      </c>
      <c r="K40" s="48">
        <v>2005</v>
      </c>
      <c r="L40" s="49" t="s">
        <v>406</v>
      </c>
      <c r="M40" s="27">
        <v>44019</v>
      </c>
      <c r="N40" s="27">
        <f t="shared" si="0"/>
        <v>45845</v>
      </c>
      <c r="O40" s="27" t="str">
        <f>VLOOKUP(F40,'[1]PZ a UTZ'!$E$2:$H$335,3,FALSE)</f>
        <v>PZ 2115/05-E.49</v>
      </c>
      <c r="P40" s="27">
        <f>VLOOKUP(F40,'[1]PZ a UTZ'!$E$2:$H$335,4,FALSE)</f>
        <v>43976</v>
      </c>
      <c r="Q40" s="27">
        <f t="shared" si="1"/>
        <v>45802</v>
      </c>
      <c r="R40" s="242" t="s">
        <v>1493</v>
      </c>
      <c r="S40" s="258">
        <v>602668264</v>
      </c>
      <c r="T40" s="279" t="s">
        <v>1082</v>
      </c>
    </row>
    <row r="41" spans="2:20" x14ac:dyDescent="0.25">
      <c r="B41" s="10">
        <v>40</v>
      </c>
      <c r="C41" s="75" t="s">
        <v>190</v>
      </c>
      <c r="D41" s="22" t="s">
        <v>407</v>
      </c>
      <c r="E41" s="80" t="s">
        <v>25</v>
      </c>
      <c r="F41" s="77">
        <v>147.21799999999999</v>
      </c>
      <c r="G41" s="77" t="s">
        <v>408</v>
      </c>
      <c r="H41" s="78">
        <v>2005</v>
      </c>
      <c r="I41" s="49">
        <v>44013</v>
      </c>
      <c r="J41" s="49" t="s">
        <v>17</v>
      </c>
      <c r="K41" s="48">
        <v>2005</v>
      </c>
      <c r="L41" s="49" t="s">
        <v>409</v>
      </c>
      <c r="M41" s="27">
        <v>44019</v>
      </c>
      <c r="N41" s="27">
        <f t="shared" si="0"/>
        <v>45845</v>
      </c>
      <c r="O41" s="27" t="str">
        <f>VLOOKUP(F41,'[1]PZ a UTZ'!$E$2:$H$335,3,FALSE)</f>
        <v>PZ 2116/05-E.49</v>
      </c>
      <c r="P41" s="27">
        <f>VLOOKUP(F41,'[1]PZ a UTZ'!$E$2:$H$335,4,FALSE)</f>
        <v>43976</v>
      </c>
      <c r="Q41" s="27">
        <f t="shared" si="1"/>
        <v>45802</v>
      </c>
      <c r="R41" s="242" t="s">
        <v>1493</v>
      </c>
      <c r="S41" s="258">
        <v>602668264</v>
      </c>
      <c r="T41" s="279" t="s">
        <v>1083</v>
      </c>
    </row>
    <row r="42" spans="2:20" x14ac:dyDescent="0.25">
      <c r="B42" s="10">
        <v>41</v>
      </c>
      <c r="C42" s="83" t="s">
        <v>190</v>
      </c>
      <c r="D42" s="30" t="s">
        <v>316</v>
      </c>
      <c r="E42" s="98" t="s">
        <v>311</v>
      </c>
      <c r="F42" s="84">
        <v>12.637</v>
      </c>
      <c r="G42" s="84" t="s">
        <v>317</v>
      </c>
      <c r="H42" s="99">
        <v>2020</v>
      </c>
      <c r="I42" s="35">
        <v>44044</v>
      </c>
      <c r="J42" s="44" t="s">
        <v>49</v>
      </c>
      <c r="K42" s="85">
        <v>2020</v>
      </c>
      <c r="L42" s="35" t="s">
        <v>45</v>
      </c>
      <c r="M42" s="37">
        <v>44042</v>
      </c>
      <c r="N42" s="37">
        <f t="shared" si="0"/>
        <v>45868</v>
      </c>
      <c r="O42" s="37" t="s">
        <v>1506</v>
      </c>
      <c r="P42" s="37">
        <v>44067</v>
      </c>
      <c r="Q42" s="37">
        <f t="shared" si="1"/>
        <v>45893</v>
      </c>
      <c r="R42" s="243" t="s">
        <v>1507</v>
      </c>
      <c r="S42" s="259">
        <v>605523102</v>
      </c>
      <c r="T42" s="270" t="s">
        <v>1047</v>
      </c>
    </row>
    <row r="43" spans="2:20" x14ac:dyDescent="0.25">
      <c r="B43" s="10">
        <v>42</v>
      </c>
      <c r="C43" s="83" t="s">
        <v>190</v>
      </c>
      <c r="D43" s="30" t="s">
        <v>318</v>
      </c>
      <c r="E43" s="98" t="s">
        <v>311</v>
      </c>
      <c r="F43" s="84">
        <v>12.846</v>
      </c>
      <c r="G43" s="84" t="s">
        <v>319</v>
      </c>
      <c r="H43" s="99">
        <v>2020</v>
      </c>
      <c r="I43" s="35">
        <v>44044</v>
      </c>
      <c r="J43" s="44" t="s">
        <v>49</v>
      </c>
      <c r="K43" s="85">
        <v>2020</v>
      </c>
      <c r="L43" s="35" t="s">
        <v>45</v>
      </c>
      <c r="M43" s="37">
        <v>44042</v>
      </c>
      <c r="N43" s="37">
        <f t="shared" si="0"/>
        <v>45868</v>
      </c>
      <c r="O43" s="37" t="s">
        <v>1508</v>
      </c>
      <c r="P43" s="37">
        <v>44067</v>
      </c>
      <c r="Q43" s="37">
        <f t="shared" si="1"/>
        <v>45893</v>
      </c>
      <c r="R43" s="243" t="s">
        <v>1507</v>
      </c>
      <c r="S43" s="259">
        <v>605523102</v>
      </c>
      <c r="T43" s="270" t="s">
        <v>1048</v>
      </c>
    </row>
    <row r="44" spans="2:20" x14ac:dyDescent="0.25">
      <c r="B44" s="10">
        <v>43</v>
      </c>
      <c r="C44" s="71" t="s">
        <v>190</v>
      </c>
      <c r="D44" s="30" t="s">
        <v>617</v>
      </c>
      <c r="E44" s="72" t="s">
        <v>94</v>
      </c>
      <c r="F44" s="73">
        <v>42.996000000000002</v>
      </c>
      <c r="G44" s="73" t="s">
        <v>618</v>
      </c>
      <c r="H44" s="95">
        <v>1995</v>
      </c>
      <c r="I44" s="44">
        <v>44044</v>
      </c>
      <c r="J44" s="44" t="s">
        <v>49</v>
      </c>
      <c r="K44" s="85">
        <v>2020</v>
      </c>
      <c r="L44" s="96" t="s">
        <v>619</v>
      </c>
      <c r="M44" s="37">
        <v>44049</v>
      </c>
      <c r="N44" s="37">
        <f t="shared" si="0"/>
        <v>45875</v>
      </c>
      <c r="O44" s="37" t="str">
        <f>VLOOKUP(F44,'[1]PZ a UTZ'!$E$2:$H$335,3,FALSE)</f>
        <v>PZ 8333/96-E.49</v>
      </c>
      <c r="P44" s="37">
        <f>VLOOKUP(F44,'[1]PZ a UTZ'!$E$2:$H$335,4,FALSE)</f>
        <v>44099</v>
      </c>
      <c r="Q44" s="37">
        <f t="shared" si="1"/>
        <v>45925</v>
      </c>
      <c r="R44" s="243" t="s">
        <v>610</v>
      </c>
      <c r="S44" s="259">
        <v>724862430</v>
      </c>
      <c r="T44" s="278" t="s">
        <v>1160</v>
      </c>
    </row>
    <row r="45" spans="2:20" x14ac:dyDescent="0.25">
      <c r="B45" s="10">
        <v>44</v>
      </c>
      <c r="C45" s="71" t="s">
        <v>190</v>
      </c>
      <c r="D45" s="30" t="s">
        <v>614</v>
      </c>
      <c r="E45" s="72" t="s">
        <v>94</v>
      </c>
      <c r="F45" s="73">
        <v>44.499000000000002</v>
      </c>
      <c r="G45" s="73" t="s">
        <v>615</v>
      </c>
      <c r="H45" s="95">
        <v>1995</v>
      </c>
      <c r="I45" s="44">
        <v>44044</v>
      </c>
      <c r="J45" s="44" t="s">
        <v>49</v>
      </c>
      <c r="K45" s="85">
        <v>2020</v>
      </c>
      <c r="L45" s="96" t="s">
        <v>616</v>
      </c>
      <c r="M45" s="37">
        <v>44049</v>
      </c>
      <c r="N45" s="37">
        <f t="shared" si="0"/>
        <v>45875</v>
      </c>
      <c r="O45" s="37" t="str">
        <f>VLOOKUP(F45,'[1]PZ a UTZ'!$E$2:$H$335,3,FALSE)</f>
        <v>PZ 8332/96-E.49</v>
      </c>
      <c r="P45" s="37">
        <f>VLOOKUP(F45,'[1]PZ a UTZ'!$E$2:$H$335,4,FALSE)</f>
        <v>44099</v>
      </c>
      <c r="Q45" s="37">
        <f t="shared" si="1"/>
        <v>45925</v>
      </c>
      <c r="R45" s="243" t="s">
        <v>1509</v>
      </c>
      <c r="S45" s="259">
        <v>725363405</v>
      </c>
      <c r="T45" s="278" t="s">
        <v>1159</v>
      </c>
    </row>
    <row r="46" spans="2:20" x14ac:dyDescent="0.25">
      <c r="B46" s="10">
        <v>45</v>
      </c>
      <c r="C46" s="71" t="s">
        <v>190</v>
      </c>
      <c r="D46" s="30" t="s">
        <v>611</v>
      </c>
      <c r="E46" s="72" t="s">
        <v>94</v>
      </c>
      <c r="F46" s="73">
        <v>45.039000000000001</v>
      </c>
      <c r="G46" s="73" t="s">
        <v>612</v>
      </c>
      <c r="H46" s="95">
        <v>1995</v>
      </c>
      <c r="I46" s="44">
        <v>44044</v>
      </c>
      <c r="J46" s="44" t="s">
        <v>608</v>
      </c>
      <c r="K46" s="36" t="s">
        <v>601</v>
      </c>
      <c r="L46" s="96" t="s">
        <v>613</v>
      </c>
      <c r="M46" s="37">
        <v>44049</v>
      </c>
      <c r="N46" s="37">
        <f t="shared" si="0"/>
        <v>45875</v>
      </c>
      <c r="O46" s="37" t="str">
        <f>VLOOKUP(F46,'[1]PZ a UTZ'!$E$2:$H$335,3,FALSE)</f>
        <v>PZ 8331/96-E.49</v>
      </c>
      <c r="P46" s="37">
        <f>VLOOKUP(F46,'[1]PZ a UTZ'!$E$2:$H$335,4,FALSE)</f>
        <v>44099</v>
      </c>
      <c r="Q46" s="37">
        <f t="shared" si="1"/>
        <v>45925</v>
      </c>
      <c r="R46" s="243" t="s">
        <v>610</v>
      </c>
      <c r="S46" s="259">
        <v>724862430</v>
      </c>
      <c r="T46" s="278" t="s">
        <v>1158</v>
      </c>
    </row>
    <row r="47" spans="2:20" x14ac:dyDescent="0.25">
      <c r="B47" s="10">
        <v>46</v>
      </c>
      <c r="C47" s="71" t="s">
        <v>190</v>
      </c>
      <c r="D47" s="30" t="s">
        <v>606</v>
      </c>
      <c r="E47" s="72" t="s">
        <v>94</v>
      </c>
      <c r="F47" s="73">
        <v>45.331000000000003</v>
      </c>
      <c r="G47" s="73" t="s">
        <v>607</v>
      </c>
      <c r="H47" s="36">
        <v>1996</v>
      </c>
      <c r="I47" s="44">
        <v>44044</v>
      </c>
      <c r="J47" s="44" t="s">
        <v>608</v>
      </c>
      <c r="K47" s="36" t="s">
        <v>601</v>
      </c>
      <c r="L47" s="96" t="s">
        <v>609</v>
      </c>
      <c r="M47" s="37">
        <v>44049</v>
      </c>
      <c r="N47" s="37">
        <f t="shared" si="0"/>
        <v>45875</v>
      </c>
      <c r="O47" s="37" t="str">
        <f>VLOOKUP(F47,'[1]PZ a UTZ'!$E$2:$H$335,3,FALSE)</f>
        <v>PZ 8330/96-E.49</v>
      </c>
      <c r="P47" s="37">
        <f>VLOOKUP(F47,'[1]PZ a UTZ'!$E$2:$H$335,4,FALSE)</f>
        <v>44099</v>
      </c>
      <c r="Q47" s="37">
        <f t="shared" si="1"/>
        <v>45925</v>
      </c>
      <c r="R47" s="243" t="s">
        <v>610</v>
      </c>
      <c r="S47" s="259">
        <v>724862430</v>
      </c>
      <c r="T47" s="278" t="s">
        <v>1157</v>
      </c>
    </row>
    <row r="48" spans="2:20" x14ac:dyDescent="0.25">
      <c r="B48" s="10">
        <v>47</v>
      </c>
      <c r="C48" s="71" t="s">
        <v>190</v>
      </c>
      <c r="D48" s="13" t="s">
        <v>598</v>
      </c>
      <c r="E48" s="72" t="s">
        <v>94</v>
      </c>
      <c r="F48" s="73">
        <v>48.005000000000003</v>
      </c>
      <c r="G48" s="73" t="s">
        <v>599</v>
      </c>
      <c r="H48" s="36">
        <v>1996</v>
      </c>
      <c r="I48" s="44">
        <v>44044</v>
      </c>
      <c r="J48" s="44" t="s">
        <v>600</v>
      </c>
      <c r="K48" s="36" t="s">
        <v>601</v>
      </c>
      <c r="L48" s="44" t="s">
        <v>45</v>
      </c>
      <c r="M48" s="37">
        <v>44049</v>
      </c>
      <c r="N48" s="37">
        <f t="shared" si="0"/>
        <v>45875</v>
      </c>
      <c r="O48" s="37" t="str">
        <f>VLOOKUP(F48,'[1]PZ a UTZ'!$E$2:$H$335,3,FALSE)</f>
        <v>PZ 2520/96-E.49</v>
      </c>
      <c r="P48" s="37">
        <f>VLOOKUP(F48,'[1]PZ a UTZ'!$E$2:$H$335,4,FALSE)</f>
        <v>44106</v>
      </c>
      <c r="Q48" s="37">
        <f t="shared" si="1"/>
        <v>45932</v>
      </c>
      <c r="R48" s="243" t="s">
        <v>1510</v>
      </c>
      <c r="S48" s="259">
        <v>602282288</v>
      </c>
      <c r="T48" s="281" t="s">
        <v>1155</v>
      </c>
    </row>
    <row r="49" spans="2:20" x14ac:dyDescent="0.25">
      <c r="B49" s="10">
        <v>48</v>
      </c>
      <c r="C49" s="45" t="s">
        <v>190</v>
      </c>
      <c r="D49" s="22" t="s">
        <v>522</v>
      </c>
      <c r="E49" s="46" t="s">
        <v>94</v>
      </c>
      <c r="F49" s="47">
        <v>94.887</v>
      </c>
      <c r="G49" s="47" t="s">
        <v>523</v>
      </c>
      <c r="H49" s="48">
        <v>2013</v>
      </c>
      <c r="I49" s="49">
        <v>44044</v>
      </c>
      <c r="J49" s="49" t="s">
        <v>17</v>
      </c>
      <c r="K49" s="48">
        <v>2013</v>
      </c>
      <c r="L49" s="49" t="s">
        <v>524</v>
      </c>
      <c r="M49" s="27">
        <v>44056</v>
      </c>
      <c r="N49" s="27">
        <f t="shared" si="0"/>
        <v>45882</v>
      </c>
      <c r="O49" s="27" t="str">
        <f>VLOOKUP(F49,'[1]PZ a UTZ'!$E$2:$H$335,3,FALSE)</f>
        <v>PZ 2703/15-E.49</v>
      </c>
      <c r="P49" s="27">
        <f>VLOOKUP(F49,'[1]PZ a UTZ'!$E$2:$H$335,4,FALSE)</f>
        <v>44114</v>
      </c>
      <c r="Q49" s="27">
        <f t="shared" si="1"/>
        <v>45940</v>
      </c>
      <c r="R49" s="242" t="s">
        <v>1511</v>
      </c>
      <c r="S49" s="258">
        <v>603418035</v>
      </c>
      <c r="T49" s="274" t="s">
        <v>1129</v>
      </c>
    </row>
    <row r="50" spans="2:20" x14ac:dyDescent="0.25">
      <c r="B50" s="10">
        <v>49</v>
      </c>
      <c r="C50" s="45" t="s">
        <v>190</v>
      </c>
      <c r="D50" s="22" t="s">
        <v>519</v>
      </c>
      <c r="E50" s="46" t="s">
        <v>94</v>
      </c>
      <c r="F50" s="47">
        <v>95.436000000000007</v>
      </c>
      <c r="G50" s="47" t="s">
        <v>520</v>
      </c>
      <c r="H50" s="48">
        <v>2013</v>
      </c>
      <c r="I50" s="49">
        <v>44044</v>
      </c>
      <c r="J50" s="49" t="s">
        <v>17</v>
      </c>
      <c r="K50" s="48">
        <v>2013</v>
      </c>
      <c r="L50" s="49" t="s">
        <v>521</v>
      </c>
      <c r="M50" s="27">
        <v>44056</v>
      </c>
      <c r="N50" s="27">
        <f t="shared" si="0"/>
        <v>45882</v>
      </c>
      <c r="O50" s="27" t="str">
        <f>VLOOKUP(F50,'[1]PZ a UTZ'!$E$2:$H$335,3,FALSE)</f>
        <v>PZ 2704/15-E.49</v>
      </c>
      <c r="P50" s="27">
        <f>VLOOKUP(F50,'[1]PZ a UTZ'!$E$2:$H$335,4,FALSE)</f>
        <v>44106</v>
      </c>
      <c r="Q50" s="27">
        <f t="shared" si="1"/>
        <v>45932</v>
      </c>
      <c r="R50" s="242" t="s">
        <v>1511</v>
      </c>
      <c r="S50" s="258">
        <v>603418035</v>
      </c>
      <c r="T50" s="274" t="s">
        <v>1128</v>
      </c>
    </row>
    <row r="51" spans="2:20" x14ac:dyDescent="0.25">
      <c r="B51" s="10">
        <v>50</v>
      </c>
      <c r="C51" s="45" t="s">
        <v>190</v>
      </c>
      <c r="D51" s="22" t="s">
        <v>1288</v>
      </c>
      <c r="E51" s="46" t="s">
        <v>94</v>
      </c>
      <c r="F51" s="47">
        <v>96.013999999999996</v>
      </c>
      <c r="G51" s="47" t="s">
        <v>517</v>
      </c>
      <c r="H51" s="48">
        <v>2013</v>
      </c>
      <c r="I51" s="49">
        <v>44044</v>
      </c>
      <c r="J51" s="49" t="s">
        <v>17</v>
      </c>
      <c r="K51" s="48">
        <v>2013</v>
      </c>
      <c r="L51" s="49" t="s">
        <v>518</v>
      </c>
      <c r="M51" s="27">
        <v>44056</v>
      </c>
      <c r="N51" s="27">
        <f t="shared" si="0"/>
        <v>45882</v>
      </c>
      <c r="O51" s="27" t="str">
        <f>VLOOKUP(F51,'[1]PZ a UTZ'!$E$2:$H$335,3,FALSE)</f>
        <v>PZ 2705/15-E.49</v>
      </c>
      <c r="P51" s="27">
        <f>VLOOKUP(F51,'[1]PZ a UTZ'!$E$2:$H$335,4,FALSE)</f>
        <v>44106</v>
      </c>
      <c r="Q51" s="27">
        <f t="shared" si="1"/>
        <v>45932</v>
      </c>
      <c r="R51" s="242" t="s">
        <v>1511</v>
      </c>
      <c r="S51" s="258">
        <v>603418035</v>
      </c>
      <c r="T51" s="282" t="s">
        <v>1127</v>
      </c>
    </row>
    <row r="52" spans="2:20" x14ac:dyDescent="0.25">
      <c r="B52" s="10">
        <v>51</v>
      </c>
      <c r="C52" s="45" t="s">
        <v>190</v>
      </c>
      <c r="D52" s="22" t="s">
        <v>116</v>
      </c>
      <c r="E52" s="46" t="s">
        <v>112</v>
      </c>
      <c r="F52" s="47">
        <v>14.195</v>
      </c>
      <c r="G52" s="47" t="s">
        <v>674</v>
      </c>
      <c r="H52" s="48">
        <v>2005</v>
      </c>
      <c r="I52" s="49">
        <v>44075</v>
      </c>
      <c r="J52" s="49" t="s">
        <v>46</v>
      </c>
      <c r="K52" s="48">
        <v>2005</v>
      </c>
      <c r="L52" s="49" t="s">
        <v>675</v>
      </c>
      <c r="M52" s="27">
        <v>44075</v>
      </c>
      <c r="N52" s="27">
        <f t="shared" si="0"/>
        <v>45901</v>
      </c>
      <c r="O52" s="27" t="str">
        <f>VLOOKUP(F52,'[1]PZ a UTZ'!$E$2:$H$335,3,FALSE)</f>
        <v>PZ 2145/05-E.49</v>
      </c>
      <c r="P52" s="27">
        <f>VLOOKUP(F52,'[1]PZ a UTZ'!$E$2:$H$335,4,FALSE)</f>
        <v>44138</v>
      </c>
      <c r="Q52" s="27">
        <f t="shared" si="1"/>
        <v>45964</v>
      </c>
      <c r="R52" s="242" t="s">
        <v>1498</v>
      </c>
      <c r="S52" s="258">
        <v>725339124</v>
      </c>
      <c r="T52" s="274" t="s">
        <v>1179</v>
      </c>
    </row>
    <row r="53" spans="2:20" x14ac:dyDescent="0.25">
      <c r="B53" s="10">
        <v>52</v>
      </c>
      <c r="C53" s="100" t="s">
        <v>1289</v>
      </c>
      <c r="D53" s="101" t="s">
        <v>116</v>
      </c>
      <c r="E53" s="102" t="s">
        <v>112</v>
      </c>
      <c r="F53" s="103">
        <v>12.784000000000001</v>
      </c>
      <c r="G53" s="104"/>
      <c r="H53" s="105">
        <v>1973</v>
      </c>
      <c r="I53" s="106">
        <v>44075</v>
      </c>
      <c r="J53" s="106" t="s">
        <v>16</v>
      </c>
      <c r="K53" s="107"/>
      <c r="L53" s="106" t="s">
        <v>1290</v>
      </c>
      <c r="M53" s="108">
        <v>44075</v>
      </c>
      <c r="N53" s="108">
        <f t="shared" si="0"/>
        <v>45901</v>
      </c>
      <c r="O53" s="209"/>
      <c r="P53" s="209"/>
      <c r="Q53" s="209"/>
      <c r="R53" s="246" t="s">
        <v>1498</v>
      </c>
      <c r="S53" s="262">
        <v>725339124</v>
      </c>
      <c r="T53" s="283" t="s">
        <v>962</v>
      </c>
    </row>
    <row r="54" spans="2:20" x14ac:dyDescent="0.25">
      <c r="B54" s="10">
        <v>53</v>
      </c>
      <c r="C54" s="53" t="s">
        <v>14</v>
      </c>
      <c r="D54" s="22" t="s">
        <v>116</v>
      </c>
      <c r="E54" s="46" t="s">
        <v>112</v>
      </c>
      <c r="F54" s="54">
        <v>12.784000000000001</v>
      </c>
      <c r="G54" s="47"/>
      <c r="H54" s="48">
        <v>1973</v>
      </c>
      <c r="I54" s="49">
        <v>44075</v>
      </c>
      <c r="J54" s="49" t="s">
        <v>74</v>
      </c>
      <c r="K54" s="56" t="s">
        <v>117</v>
      </c>
      <c r="L54" s="49" t="s">
        <v>118</v>
      </c>
      <c r="M54" s="27">
        <v>44075</v>
      </c>
      <c r="N54" s="27">
        <f t="shared" si="0"/>
        <v>45901</v>
      </c>
      <c r="O54" s="27" t="str">
        <f>VLOOKUP(D54,'[1]PZ a UTZ'!$C$341:$H$464,5,FALSE)</f>
        <v>PZ 10169/96-E.49</v>
      </c>
      <c r="P54" s="27">
        <f>VLOOKUP(D54,'[1]PZ a UTZ'!$C$341:$H$464,6,FALSE)</f>
        <v>44298</v>
      </c>
      <c r="Q54" s="27">
        <f>EDATE(P54,60)</f>
        <v>46124</v>
      </c>
      <c r="R54" s="242" t="s">
        <v>1498</v>
      </c>
      <c r="S54" s="258">
        <v>725339124</v>
      </c>
      <c r="T54" s="274" t="s">
        <v>962</v>
      </c>
    </row>
    <row r="55" spans="2:20" x14ac:dyDescent="0.25">
      <c r="B55" s="10">
        <v>54</v>
      </c>
      <c r="C55" s="45" t="s">
        <v>190</v>
      </c>
      <c r="D55" s="22" t="s">
        <v>471</v>
      </c>
      <c r="E55" s="46" t="s">
        <v>63</v>
      </c>
      <c r="F55" s="47">
        <v>158.84</v>
      </c>
      <c r="G55" s="47" t="s">
        <v>472</v>
      </c>
      <c r="H55" s="52">
        <v>1985</v>
      </c>
      <c r="I55" s="49">
        <v>44075</v>
      </c>
      <c r="J55" s="49" t="s">
        <v>46</v>
      </c>
      <c r="K55" s="56">
        <v>2013</v>
      </c>
      <c r="L55" s="49" t="s">
        <v>473</v>
      </c>
      <c r="M55" s="27">
        <v>44096</v>
      </c>
      <c r="N55" s="27">
        <f t="shared" si="0"/>
        <v>45922</v>
      </c>
      <c r="O55" s="27" t="s">
        <v>1512</v>
      </c>
      <c r="P55" s="27">
        <v>44340</v>
      </c>
      <c r="Q55" s="27">
        <f>EDATE(P55,60)</f>
        <v>46166</v>
      </c>
      <c r="R55" s="242" t="s">
        <v>1502</v>
      </c>
      <c r="S55" s="258">
        <v>724862388</v>
      </c>
      <c r="T55" s="274" t="s">
        <v>1110</v>
      </c>
    </row>
    <row r="56" spans="2:20" x14ac:dyDescent="0.25">
      <c r="B56" s="10">
        <v>55</v>
      </c>
      <c r="C56" s="45" t="s">
        <v>190</v>
      </c>
      <c r="D56" s="22" t="s">
        <v>471</v>
      </c>
      <c r="E56" s="46" t="s">
        <v>63</v>
      </c>
      <c r="F56" s="47">
        <v>159.07400000000001</v>
      </c>
      <c r="G56" s="47" t="s">
        <v>474</v>
      </c>
      <c r="H56" s="52">
        <v>1985</v>
      </c>
      <c r="I56" s="49">
        <v>44075</v>
      </c>
      <c r="J56" s="49" t="s">
        <v>46</v>
      </c>
      <c r="K56" s="56">
        <v>2013</v>
      </c>
      <c r="L56" s="49" t="s">
        <v>475</v>
      </c>
      <c r="M56" s="27">
        <v>44096</v>
      </c>
      <c r="N56" s="27">
        <f t="shared" si="0"/>
        <v>45922</v>
      </c>
      <c r="O56" s="27" t="s">
        <v>1513</v>
      </c>
      <c r="P56" s="27">
        <v>44340</v>
      </c>
      <c r="Q56" s="27">
        <f>EDATE(P56,60)</f>
        <v>46166</v>
      </c>
      <c r="R56" s="242" t="s">
        <v>1502</v>
      </c>
      <c r="S56" s="258">
        <v>724862388</v>
      </c>
      <c r="T56" s="274" t="s">
        <v>1111</v>
      </c>
    </row>
    <row r="57" spans="2:20" x14ac:dyDescent="0.25">
      <c r="B57" s="10">
        <v>56</v>
      </c>
      <c r="C57" s="53" t="s">
        <v>14</v>
      </c>
      <c r="D57" s="22" t="s">
        <v>82</v>
      </c>
      <c r="E57" s="46" t="s">
        <v>63</v>
      </c>
      <c r="F57" s="54">
        <v>162.22</v>
      </c>
      <c r="G57" s="47" t="s">
        <v>1291</v>
      </c>
      <c r="H57" s="48">
        <v>1983</v>
      </c>
      <c r="I57" s="49">
        <v>44105</v>
      </c>
      <c r="J57" s="49" t="s">
        <v>83</v>
      </c>
      <c r="K57" s="56">
        <v>1983</v>
      </c>
      <c r="L57" s="49" t="s">
        <v>84</v>
      </c>
      <c r="M57" s="27">
        <v>44110</v>
      </c>
      <c r="N57" s="27">
        <f t="shared" si="0"/>
        <v>45936</v>
      </c>
      <c r="O57" s="27" t="str">
        <f>VLOOKUP(D57,'[1]PZ a UTZ'!$C$341:$H$464,5,FALSE)</f>
        <v>PZ 10293/96-E.49</v>
      </c>
      <c r="P57" s="27">
        <f>VLOOKUP(D57,'[1]PZ a UTZ'!$C$341:$H$464,6,FALSE)</f>
        <v>44334</v>
      </c>
      <c r="Q57" s="27">
        <f>EDATE(P57,60)</f>
        <v>46160</v>
      </c>
      <c r="R57" s="242" t="s">
        <v>1502</v>
      </c>
      <c r="S57" s="258">
        <v>724862388</v>
      </c>
      <c r="T57" s="274" t="s">
        <v>946</v>
      </c>
    </row>
    <row r="58" spans="2:20" x14ac:dyDescent="0.25">
      <c r="B58" s="10">
        <v>57</v>
      </c>
      <c r="C58" s="100" t="s">
        <v>1289</v>
      </c>
      <c r="D58" s="101" t="s">
        <v>82</v>
      </c>
      <c r="E58" s="102" t="s">
        <v>63</v>
      </c>
      <c r="F58" s="103">
        <v>162.22</v>
      </c>
      <c r="G58" s="104" t="s">
        <v>1292</v>
      </c>
      <c r="H58" s="105">
        <v>1983</v>
      </c>
      <c r="I58" s="106">
        <v>44105</v>
      </c>
      <c r="J58" s="106" t="s">
        <v>16</v>
      </c>
      <c r="K58" s="107">
        <v>1983</v>
      </c>
      <c r="L58" s="106" t="s">
        <v>1293</v>
      </c>
      <c r="M58" s="108">
        <v>44110</v>
      </c>
      <c r="N58" s="108">
        <f t="shared" si="0"/>
        <v>45936</v>
      </c>
      <c r="O58" s="209"/>
      <c r="P58" s="209"/>
      <c r="Q58" s="209"/>
      <c r="R58" s="246" t="s">
        <v>1502</v>
      </c>
      <c r="S58" s="262">
        <v>724862388</v>
      </c>
      <c r="T58" s="283" t="s">
        <v>946</v>
      </c>
    </row>
    <row r="59" spans="2:20" x14ac:dyDescent="0.25">
      <c r="B59" s="10">
        <v>58</v>
      </c>
      <c r="C59" s="109" t="s">
        <v>190</v>
      </c>
      <c r="D59" s="22" t="s">
        <v>107</v>
      </c>
      <c r="E59" s="110" t="s">
        <v>94</v>
      </c>
      <c r="F59" s="47">
        <v>22.856000000000002</v>
      </c>
      <c r="G59" s="47" t="s">
        <v>648</v>
      </c>
      <c r="H59" s="48">
        <v>2015</v>
      </c>
      <c r="I59" s="49">
        <v>44136</v>
      </c>
      <c r="J59" s="49" t="s">
        <v>46</v>
      </c>
      <c r="K59" s="48">
        <v>2015</v>
      </c>
      <c r="L59" s="49" t="s">
        <v>1294</v>
      </c>
      <c r="M59" s="111">
        <v>44153</v>
      </c>
      <c r="N59" s="111">
        <f t="shared" si="0"/>
        <v>45979</v>
      </c>
      <c r="O59" s="111" t="s">
        <v>1514</v>
      </c>
      <c r="P59" s="111">
        <v>44158</v>
      </c>
      <c r="Q59" s="111">
        <f>EDATE(P59,60)</f>
        <v>45984</v>
      </c>
      <c r="R59" s="242" t="s">
        <v>1515</v>
      </c>
      <c r="S59" s="258">
        <v>724901887</v>
      </c>
      <c r="T59" s="276" t="s">
        <v>1643</v>
      </c>
    </row>
    <row r="60" spans="2:20" x14ac:dyDescent="0.25">
      <c r="B60" s="10">
        <v>59</v>
      </c>
      <c r="C60" s="92" t="s">
        <v>190</v>
      </c>
      <c r="D60" s="22" t="s">
        <v>107</v>
      </c>
      <c r="E60" s="46" t="s">
        <v>94</v>
      </c>
      <c r="F60" s="47">
        <v>23.468</v>
      </c>
      <c r="G60" s="47" t="s">
        <v>647</v>
      </c>
      <c r="H60" s="48">
        <v>2015</v>
      </c>
      <c r="I60" s="49">
        <v>44136</v>
      </c>
      <c r="J60" s="49" t="s">
        <v>46</v>
      </c>
      <c r="K60" s="48">
        <v>2015</v>
      </c>
      <c r="L60" s="49" t="s">
        <v>1295</v>
      </c>
      <c r="M60" s="111">
        <v>44153</v>
      </c>
      <c r="N60" s="111">
        <f t="shared" si="0"/>
        <v>45979</v>
      </c>
      <c r="O60" s="27" t="str">
        <f>VLOOKUP(F60,'[1]PZ a UTZ'!$E$2:$H$335,3,FALSE)</f>
        <v>PZ 2979/15-E.49</v>
      </c>
      <c r="P60" s="27">
        <f>VLOOKUP(F60,'[1]PZ a UTZ'!$E$2:$H$335,4,FALSE)</f>
        <v>44158</v>
      </c>
      <c r="Q60" s="27">
        <f>EDATE(P60,60)</f>
        <v>45984</v>
      </c>
      <c r="R60" s="242" t="s">
        <v>1515</v>
      </c>
      <c r="S60" s="258">
        <v>724901887</v>
      </c>
      <c r="T60" s="276" t="s">
        <v>1644</v>
      </c>
    </row>
    <row r="61" spans="2:20" x14ac:dyDescent="0.25">
      <c r="B61" s="10">
        <v>60</v>
      </c>
      <c r="C61" s="57" t="s">
        <v>885</v>
      </c>
      <c r="D61" s="58" t="s">
        <v>107</v>
      </c>
      <c r="E61" s="59" t="s">
        <v>94</v>
      </c>
      <c r="F61" s="60">
        <v>23.323</v>
      </c>
      <c r="G61" s="112" t="s">
        <v>1276</v>
      </c>
      <c r="H61" s="62">
        <v>2015</v>
      </c>
      <c r="I61" s="64">
        <v>42278</v>
      </c>
      <c r="J61" s="64" t="s">
        <v>901</v>
      </c>
      <c r="K61" s="113"/>
      <c r="L61" s="96"/>
      <c r="M61" s="114">
        <v>44153</v>
      </c>
      <c r="N61" s="114">
        <f t="shared" si="0"/>
        <v>45979</v>
      </c>
      <c r="O61" s="247"/>
      <c r="P61" s="247"/>
      <c r="Q61" s="247"/>
      <c r="R61" s="245" t="s">
        <v>1515</v>
      </c>
      <c r="S61" s="261">
        <v>724901887</v>
      </c>
      <c r="T61" s="284" t="s">
        <v>958</v>
      </c>
    </row>
    <row r="62" spans="2:20" x14ac:dyDescent="0.25">
      <c r="B62" s="10">
        <v>61</v>
      </c>
      <c r="C62" s="57" t="s">
        <v>885</v>
      </c>
      <c r="D62" s="58" t="s">
        <v>110</v>
      </c>
      <c r="E62" s="59" t="s">
        <v>94</v>
      </c>
      <c r="F62" s="60">
        <v>2.4E-2</v>
      </c>
      <c r="G62" s="112" t="s">
        <v>1276</v>
      </c>
      <c r="H62" s="62">
        <v>2015</v>
      </c>
      <c r="I62" s="64">
        <v>44136</v>
      </c>
      <c r="J62" s="64" t="s">
        <v>46</v>
      </c>
      <c r="K62" s="62">
        <v>2015</v>
      </c>
      <c r="L62" s="96"/>
      <c r="M62" s="114">
        <v>44153</v>
      </c>
      <c r="N62" s="114">
        <f t="shared" si="0"/>
        <v>45979</v>
      </c>
      <c r="O62" s="247"/>
      <c r="P62" s="247"/>
      <c r="Q62" s="247"/>
      <c r="R62" s="245" t="s">
        <v>1509</v>
      </c>
      <c r="S62" s="261">
        <v>725363405</v>
      </c>
      <c r="T62" s="284" t="s">
        <v>1266</v>
      </c>
    </row>
    <row r="63" spans="2:20" x14ac:dyDescent="0.25">
      <c r="B63" s="10">
        <v>62</v>
      </c>
      <c r="C63" s="115" t="s">
        <v>14</v>
      </c>
      <c r="D63" s="22" t="s">
        <v>110</v>
      </c>
      <c r="E63" s="46" t="s">
        <v>94</v>
      </c>
      <c r="F63" s="54">
        <v>2.4E-2</v>
      </c>
      <c r="G63" s="47"/>
      <c r="H63" s="48">
        <v>2015</v>
      </c>
      <c r="I63" s="49">
        <v>44136</v>
      </c>
      <c r="J63" s="49" t="s">
        <v>46</v>
      </c>
      <c r="K63" s="48">
        <v>2015</v>
      </c>
      <c r="L63" s="49" t="s">
        <v>1296</v>
      </c>
      <c r="M63" s="111">
        <v>44153</v>
      </c>
      <c r="N63" s="111">
        <f t="shared" si="0"/>
        <v>45979</v>
      </c>
      <c r="O63" s="27" t="str">
        <f>VLOOKUP(D63,'[1]PZ a UTZ'!$C$341:$H$464,5,FALSE)</f>
        <v>PZ 2973/15-E.49</v>
      </c>
      <c r="P63" s="27">
        <f>VLOOKUP(D63,'[1]PZ a UTZ'!$C$341:$H$464,6,FALSE)</f>
        <v>44160</v>
      </c>
      <c r="Q63" s="27">
        <f>EDATE(P63,60)</f>
        <v>45986</v>
      </c>
      <c r="R63" s="242" t="s">
        <v>1509</v>
      </c>
      <c r="S63" s="258">
        <v>725363405</v>
      </c>
      <c r="T63" s="276" t="s">
        <v>1266</v>
      </c>
    </row>
    <row r="64" spans="2:20" x14ac:dyDescent="0.25">
      <c r="B64" s="10">
        <v>63</v>
      </c>
      <c r="C64" s="100" t="s">
        <v>1289</v>
      </c>
      <c r="D64" s="101" t="s">
        <v>110</v>
      </c>
      <c r="E64" s="102" t="s">
        <v>94</v>
      </c>
      <c r="F64" s="103">
        <v>2.4E-2</v>
      </c>
      <c r="G64" s="104"/>
      <c r="H64" s="105">
        <v>2015</v>
      </c>
      <c r="I64" s="106">
        <v>44136</v>
      </c>
      <c r="J64" s="106" t="s">
        <v>46</v>
      </c>
      <c r="K64" s="105">
        <v>2015</v>
      </c>
      <c r="L64" s="106" t="s">
        <v>1296</v>
      </c>
      <c r="M64" s="116">
        <v>44153</v>
      </c>
      <c r="N64" s="108">
        <f t="shared" si="0"/>
        <v>45979</v>
      </c>
      <c r="O64" s="209"/>
      <c r="P64" s="209"/>
      <c r="Q64" s="209"/>
      <c r="R64" s="246" t="s">
        <v>1509</v>
      </c>
      <c r="S64" s="262">
        <v>725363405</v>
      </c>
      <c r="T64" s="283" t="s">
        <v>958</v>
      </c>
    </row>
    <row r="65" spans="2:20" x14ac:dyDescent="0.25">
      <c r="B65" s="10">
        <v>64</v>
      </c>
      <c r="C65" s="45" t="s">
        <v>190</v>
      </c>
      <c r="D65" s="28" t="s">
        <v>664</v>
      </c>
      <c r="E65" s="46" t="s">
        <v>94</v>
      </c>
      <c r="F65" s="47">
        <v>1.6890000000000001</v>
      </c>
      <c r="G65" s="47" t="s">
        <v>665</v>
      </c>
      <c r="H65" s="48">
        <v>2015</v>
      </c>
      <c r="I65" s="49">
        <v>44136</v>
      </c>
      <c r="J65" s="49" t="s">
        <v>46</v>
      </c>
      <c r="K65" s="48">
        <v>2015</v>
      </c>
      <c r="L65" s="49" t="s">
        <v>1297</v>
      </c>
      <c r="M65" s="111">
        <v>44158</v>
      </c>
      <c r="N65" s="111">
        <f t="shared" si="0"/>
        <v>45984</v>
      </c>
      <c r="O65" s="111" t="s">
        <v>1516</v>
      </c>
      <c r="P65" s="111">
        <v>44159</v>
      </c>
      <c r="Q65" s="111">
        <f>EDATE(P65,60)</f>
        <v>45985</v>
      </c>
      <c r="R65" s="242" t="s">
        <v>1509</v>
      </c>
      <c r="S65" s="258">
        <v>725363405</v>
      </c>
      <c r="T65" s="273" t="s">
        <v>1175</v>
      </c>
    </row>
    <row r="66" spans="2:20" x14ac:dyDescent="0.25">
      <c r="B66" s="10">
        <v>65</v>
      </c>
      <c r="C66" s="45" t="s">
        <v>190</v>
      </c>
      <c r="D66" s="28" t="s">
        <v>653</v>
      </c>
      <c r="E66" s="46" t="s">
        <v>94</v>
      </c>
      <c r="F66" s="47">
        <v>11.054</v>
      </c>
      <c r="G66" s="47" t="s">
        <v>654</v>
      </c>
      <c r="H66" s="48">
        <v>2015</v>
      </c>
      <c r="I66" s="49">
        <v>44136</v>
      </c>
      <c r="J66" s="49" t="s">
        <v>46</v>
      </c>
      <c r="K66" s="48">
        <v>2015</v>
      </c>
      <c r="L66" s="49" t="s">
        <v>1298</v>
      </c>
      <c r="M66" s="111">
        <v>44158</v>
      </c>
      <c r="N66" s="111">
        <f t="shared" si="0"/>
        <v>45984</v>
      </c>
      <c r="O66" s="111" t="s">
        <v>1517</v>
      </c>
      <c r="P66" s="111">
        <v>44158</v>
      </c>
      <c r="Q66" s="111">
        <f>EDATE(P66,60)</f>
        <v>45984</v>
      </c>
      <c r="R66" s="242" t="s">
        <v>1515</v>
      </c>
      <c r="S66" s="258">
        <v>724901887</v>
      </c>
      <c r="T66" s="285" t="s">
        <v>1171</v>
      </c>
    </row>
    <row r="67" spans="2:20" x14ac:dyDescent="0.25">
      <c r="B67" s="10">
        <v>66</v>
      </c>
      <c r="C67" s="92" t="s">
        <v>190</v>
      </c>
      <c r="D67" s="22" t="s">
        <v>649</v>
      </c>
      <c r="E67" s="46" t="s">
        <v>94</v>
      </c>
      <c r="F67" s="47">
        <v>18.344999999999999</v>
      </c>
      <c r="G67" s="47" t="s">
        <v>650</v>
      </c>
      <c r="H67" s="48">
        <v>2015</v>
      </c>
      <c r="I67" s="49">
        <v>44136</v>
      </c>
      <c r="J67" s="49" t="s">
        <v>46</v>
      </c>
      <c r="K67" s="48">
        <v>2015</v>
      </c>
      <c r="L67" s="49" t="s">
        <v>1299</v>
      </c>
      <c r="M67" s="111">
        <v>44158</v>
      </c>
      <c r="N67" s="111">
        <f t="shared" ref="N67:N130" si="2">EDATE(M67,60)</f>
        <v>45984</v>
      </c>
      <c r="O67" s="111" t="s">
        <v>1514</v>
      </c>
      <c r="P67" s="111">
        <v>44158</v>
      </c>
      <c r="Q67" s="111">
        <f>EDATE(P67,60)</f>
        <v>45984</v>
      </c>
      <c r="R67" s="242" t="s">
        <v>1515</v>
      </c>
      <c r="S67" s="258">
        <v>724901887</v>
      </c>
      <c r="T67" s="274" t="s">
        <v>1169</v>
      </c>
    </row>
    <row r="68" spans="2:20" x14ac:dyDescent="0.25">
      <c r="B68" s="10">
        <v>67</v>
      </c>
      <c r="C68" s="115" t="s">
        <v>14</v>
      </c>
      <c r="D68" s="22" t="s">
        <v>109</v>
      </c>
      <c r="E68" s="46" t="s">
        <v>94</v>
      </c>
      <c r="F68" s="54">
        <v>7.5209999999999999</v>
      </c>
      <c r="G68" s="47"/>
      <c r="H68" s="48">
        <v>2015</v>
      </c>
      <c r="I68" s="49">
        <v>44136</v>
      </c>
      <c r="J68" s="49" t="s">
        <v>17</v>
      </c>
      <c r="K68" s="56">
        <v>2015</v>
      </c>
      <c r="L68" s="49" t="s">
        <v>1300</v>
      </c>
      <c r="M68" s="111">
        <v>44158</v>
      </c>
      <c r="N68" s="111">
        <f t="shared" si="2"/>
        <v>45984</v>
      </c>
      <c r="O68" s="27" t="str">
        <f>VLOOKUP(D68,'[1]PZ a UTZ'!$C$341:$H$464,5,FALSE)</f>
        <v>PZ 2971/15-E.49</v>
      </c>
      <c r="P68" s="27">
        <f>VLOOKUP(D68,'[1]PZ a UTZ'!$C$341:$H$464,6,FALSE)</f>
        <v>44159</v>
      </c>
      <c r="Q68" s="27">
        <f>EDATE(P68,60)</f>
        <v>45985</v>
      </c>
      <c r="R68" s="242" t="s">
        <v>1515</v>
      </c>
      <c r="S68" s="258">
        <v>724901887</v>
      </c>
      <c r="T68" s="274" t="s">
        <v>960</v>
      </c>
    </row>
    <row r="69" spans="2:20" x14ac:dyDescent="0.25">
      <c r="B69" s="10">
        <v>68</v>
      </c>
      <c r="C69" s="57" t="s">
        <v>885</v>
      </c>
      <c r="D69" s="58" t="s">
        <v>109</v>
      </c>
      <c r="E69" s="59" t="s">
        <v>94</v>
      </c>
      <c r="F69" s="60">
        <v>7.5209999999999999</v>
      </c>
      <c r="G69" s="112" t="s">
        <v>1276</v>
      </c>
      <c r="H69" s="62">
        <v>2015</v>
      </c>
      <c r="I69" s="64">
        <v>44136</v>
      </c>
      <c r="J69" s="64" t="s">
        <v>124</v>
      </c>
      <c r="K69" s="113" t="s">
        <v>902</v>
      </c>
      <c r="L69" s="96"/>
      <c r="M69" s="114">
        <v>44158</v>
      </c>
      <c r="N69" s="114">
        <f t="shared" si="2"/>
        <v>45984</v>
      </c>
      <c r="O69" s="247"/>
      <c r="P69" s="247"/>
      <c r="Q69" s="247"/>
      <c r="R69" s="245" t="s">
        <v>1515</v>
      </c>
      <c r="S69" s="261">
        <v>724901887</v>
      </c>
      <c r="T69" s="275" t="s">
        <v>960</v>
      </c>
    </row>
    <row r="70" spans="2:20" x14ac:dyDescent="0.25">
      <c r="B70" s="10">
        <v>69</v>
      </c>
      <c r="C70" s="115" t="s">
        <v>14</v>
      </c>
      <c r="D70" s="22" t="s">
        <v>107</v>
      </c>
      <c r="E70" s="46" t="s">
        <v>94</v>
      </c>
      <c r="F70" s="54">
        <v>23.323</v>
      </c>
      <c r="G70" s="47"/>
      <c r="H70" s="48">
        <v>2015</v>
      </c>
      <c r="I70" s="49">
        <v>44136</v>
      </c>
      <c r="J70" s="49" t="s">
        <v>46</v>
      </c>
      <c r="K70" s="48">
        <v>2015</v>
      </c>
      <c r="L70" s="49" t="s">
        <v>1301</v>
      </c>
      <c r="M70" s="111">
        <v>44158</v>
      </c>
      <c r="N70" s="111">
        <f t="shared" si="2"/>
        <v>45984</v>
      </c>
      <c r="O70" s="27" t="str">
        <f>VLOOKUP(D70,'[1]PZ a UTZ'!$C$341:$H$464,5,FALSE)</f>
        <v>PZ 2978/15-E.49</v>
      </c>
      <c r="P70" s="27">
        <f>VLOOKUP(D70,'[1]PZ a UTZ'!$C$341:$H$464,6,FALSE)</f>
        <v>44158</v>
      </c>
      <c r="Q70" s="27">
        <f>EDATE(P70,60)</f>
        <v>45984</v>
      </c>
      <c r="R70" s="242" t="s">
        <v>1515</v>
      </c>
      <c r="S70" s="258">
        <v>724901887</v>
      </c>
      <c r="T70" s="274" t="s">
        <v>958</v>
      </c>
    </row>
    <row r="71" spans="2:20" x14ac:dyDescent="0.25">
      <c r="B71" s="10">
        <v>70</v>
      </c>
      <c r="C71" s="117" t="s">
        <v>164</v>
      </c>
      <c r="D71" s="30" t="s">
        <v>189</v>
      </c>
      <c r="E71" s="94" t="s">
        <v>92</v>
      </c>
      <c r="F71" s="118">
        <v>19.329999999999998</v>
      </c>
      <c r="G71" s="84"/>
      <c r="H71" s="99">
        <v>2020</v>
      </c>
      <c r="I71" s="44">
        <v>44136</v>
      </c>
      <c r="J71" s="44" t="s">
        <v>42</v>
      </c>
      <c r="K71" s="36">
        <v>2020</v>
      </c>
      <c r="L71" s="35" t="s">
        <v>45</v>
      </c>
      <c r="M71" s="37">
        <v>44159</v>
      </c>
      <c r="N71" s="37">
        <f t="shared" si="2"/>
        <v>45985</v>
      </c>
      <c r="O71" s="37" t="str">
        <f>VLOOKUP(D71,'[1]PZ a UTZ'!$C$341:$H$464,5,FALSE)</f>
        <v>PZ 1740/23-E.49</v>
      </c>
      <c r="P71" s="37">
        <f>VLOOKUP(D71,'[1]PZ a UTZ'!$C$341:$H$464,6,FALSE)</f>
        <v>45204</v>
      </c>
      <c r="Q71" s="37">
        <f>EDATE(P71,60)</f>
        <v>47031</v>
      </c>
      <c r="R71" s="243" t="s">
        <v>1502</v>
      </c>
      <c r="S71" s="259">
        <v>724862388</v>
      </c>
      <c r="T71" s="286" t="s">
        <v>1003</v>
      </c>
    </row>
    <row r="72" spans="2:20" x14ac:dyDescent="0.25">
      <c r="B72" s="10">
        <v>71</v>
      </c>
      <c r="C72" s="92" t="s">
        <v>190</v>
      </c>
      <c r="D72" s="22" t="s">
        <v>651</v>
      </c>
      <c r="E72" s="46" t="s">
        <v>94</v>
      </c>
      <c r="F72" s="47">
        <v>15.664</v>
      </c>
      <c r="G72" s="47" t="s">
        <v>652</v>
      </c>
      <c r="H72" s="48">
        <v>2015</v>
      </c>
      <c r="I72" s="49">
        <v>44136</v>
      </c>
      <c r="J72" s="49" t="s">
        <v>17</v>
      </c>
      <c r="K72" s="48">
        <v>2015</v>
      </c>
      <c r="L72" s="49" t="s">
        <v>1302</v>
      </c>
      <c r="M72" s="111">
        <v>44160</v>
      </c>
      <c r="N72" s="111">
        <f t="shared" si="2"/>
        <v>45986</v>
      </c>
      <c r="O72" s="111" t="s">
        <v>1518</v>
      </c>
      <c r="P72" s="111">
        <v>44159</v>
      </c>
      <c r="Q72" s="111">
        <f>EDATE(P72,60)</f>
        <v>45985</v>
      </c>
      <c r="R72" s="242" t="s">
        <v>1515</v>
      </c>
      <c r="S72" s="258">
        <v>724901887</v>
      </c>
      <c r="T72" s="274" t="s">
        <v>1170</v>
      </c>
    </row>
    <row r="73" spans="2:20" x14ac:dyDescent="0.25">
      <c r="B73" s="10">
        <v>72</v>
      </c>
      <c r="C73" s="115" t="s">
        <v>14</v>
      </c>
      <c r="D73" s="22" t="s">
        <v>108</v>
      </c>
      <c r="E73" s="46" t="s">
        <v>94</v>
      </c>
      <c r="F73" s="54">
        <v>15.971</v>
      </c>
      <c r="G73" s="47"/>
      <c r="H73" s="48">
        <v>2015</v>
      </c>
      <c r="I73" s="49">
        <v>44136</v>
      </c>
      <c r="J73" s="49" t="s">
        <v>46</v>
      </c>
      <c r="K73" s="48">
        <v>2015</v>
      </c>
      <c r="L73" s="49" t="s">
        <v>1303</v>
      </c>
      <c r="M73" s="111">
        <v>44160</v>
      </c>
      <c r="N73" s="111">
        <f t="shared" si="2"/>
        <v>45986</v>
      </c>
      <c r="O73" s="27" t="str">
        <f>VLOOKUP(D73,'[1]PZ a UTZ'!$C$341:$H$464,5,FALSE)</f>
        <v>PZ 2972/15-E.49</v>
      </c>
      <c r="P73" s="27">
        <f>VLOOKUP(D73,'[1]PZ a UTZ'!$C$341:$H$464,6,FALSE)</f>
        <v>44158</v>
      </c>
      <c r="Q73" s="27">
        <f>EDATE(P73,60)</f>
        <v>45984</v>
      </c>
      <c r="R73" s="242" t="s">
        <v>1515</v>
      </c>
      <c r="S73" s="258">
        <v>724901887</v>
      </c>
      <c r="T73" s="274" t="s">
        <v>959</v>
      </c>
    </row>
    <row r="74" spans="2:20" x14ac:dyDescent="0.25">
      <c r="B74" s="10">
        <v>73</v>
      </c>
      <c r="C74" s="57" t="s">
        <v>885</v>
      </c>
      <c r="D74" s="58" t="s">
        <v>108</v>
      </c>
      <c r="E74" s="59" t="s">
        <v>94</v>
      </c>
      <c r="F74" s="60">
        <v>15.971</v>
      </c>
      <c r="G74" s="112" t="s">
        <v>1276</v>
      </c>
      <c r="H74" s="62">
        <v>2015</v>
      </c>
      <c r="I74" s="64">
        <v>44136</v>
      </c>
      <c r="J74" s="64" t="s">
        <v>17</v>
      </c>
      <c r="K74" s="62">
        <v>2015</v>
      </c>
      <c r="L74" s="96"/>
      <c r="M74" s="114">
        <v>44162</v>
      </c>
      <c r="N74" s="114">
        <f t="shared" si="2"/>
        <v>45988</v>
      </c>
      <c r="O74" s="247"/>
      <c r="P74" s="247"/>
      <c r="Q74" s="247"/>
      <c r="R74" s="245" t="s">
        <v>1515</v>
      </c>
      <c r="S74" s="261">
        <v>724901887</v>
      </c>
      <c r="T74" s="275" t="s">
        <v>959</v>
      </c>
    </row>
    <row r="75" spans="2:20" x14ac:dyDescent="0.25">
      <c r="B75" s="10">
        <v>74</v>
      </c>
      <c r="C75" s="119" t="s">
        <v>72</v>
      </c>
      <c r="D75" s="30" t="s">
        <v>50</v>
      </c>
      <c r="E75" s="39" t="s">
        <v>39</v>
      </c>
      <c r="F75" s="40">
        <v>301.36900000000003</v>
      </c>
      <c r="G75" s="41"/>
      <c r="H75" s="42">
        <v>2020</v>
      </c>
      <c r="I75" s="35">
        <v>44136</v>
      </c>
      <c r="J75" s="35" t="s">
        <v>17</v>
      </c>
      <c r="K75" s="85">
        <v>2020</v>
      </c>
      <c r="L75" s="35" t="s">
        <v>45</v>
      </c>
      <c r="M75" s="37">
        <v>44166</v>
      </c>
      <c r="N75" s="37">
        <f t="shared" si="2"/>
        <v>45992</v>
      </c>
      <c r="O75" s="37" t="str">
        <f>VLOOKUP(D75,'[1]PZ a UTZ'!$C$341:$H$464,5,FALSE)</f>
        <v>PZ 0788/21-E.49</v>
      </c>
      <c r="P75" s="37">
        <f>VLOOKUP(D75,'[1]PZ a UTZ'!$C$341:$H$464,6,FALSE)</f>
        <v>43963</v>
      </c>
      <c r="Q75" s="37">
        <f>EDATE(P75,60)</f>
        <v>45789</v>
      </c>
      <c r="R75" s="243" t="s">
        <v>1519</v>
      </c>
      <c r="S75" s="259">
        <v>602668277</v>
      </c>
      <c r="T75" s="287" t="s">
        <v>1645</v>
      </c>
    </row>
    <row r="76" spans="2:20" x14ac:dyDescent="0.25">
      <c r="B76" s="10">
        <v>75</v>
      </c>
      <c r="C76" s="100" t="s">
        <v>1289</v>
      </c>
      <c r="D76" s="101" t="s">
        <v>50</v>
      </c>
      <c r="E76" s="120" t="s">
        <v>39</v>
      </c>
      <c r="F76" s="121">
        <v>301.36900000000003</v>
      </c>
      <c r="G76" s="122"/>
      <c r="H76" s="42">
        <v>2020</v>
      </c>
      <c r="I76" s="35">
        <v>44136</v>
      </c>
      <c r="J76" s="35" t="s">
        <v>1304</v>
      </c>
      <c r="K76" s="85" t="s">
        <v>45</v>
      </c>
      <c r="L76" s="35" t="s">
        <v>1305</v>
      </c>
      <c r="M76" s="108">
        <v>44166</v>
      </c>
      <c r="N76" s="108">
        <f t="shared" si="2"/>
        <v>45992</v>
      </c>
      <c r="O76" s="209"/>
      <c r="P76" s="209"/>
      <c r="Q76" s="209"/>
      <c r="R76" s="246" t="s">
        <v>1519</v>
      </c>
      <c r="S76" s="262">
        <v>602668277</v>
      </c>
      <c r="T76" s="288" t="s">
        <v>1645</v>
      </c>
    </row>
    <row r="77" spans="2:20" x14ac:dyDescent="0.25">
      <c r="B77" s="10">
        <v>76</v>
      </c>
      <c r="C77" s="53" t="s">
        <v>14</v>
      </c>
      <c r="D77" s="28" t="s">
        <v>1306</v>
      </c>
      <c r="E77" s="123" t="s">
        <v>39</v>
      </c>
      <c r="F77" s="124">
        <v>289.57499999999999</v>
      </c>
      <c r="G77" s="125"/>
      <c r="H77" s="126">
        <v>2015</v>
      </c>
      <c r="I77" s="127">
        <v>44166</v>
      </c>
      <c r="J77" s="49" t="s">
        <v>17</v>
      </c>
      <c r="K77" s="48">
        <v>2015</v>
      </c>
      <c r="L77" s="127" t="s">
        <v>51</v>
      </c>
      <c r="M77" s="27">
        <v>44173</v>
      </c>
      <c r="N77" s="27">
        <f t="shared" si="2"/>
        <v>45999</v>
      </c>
      <c r="O77" s="27" t="str">
        <f>VLOOKUP(D77,'[1]PZ a UTZ'!$C$341:$H$464,5,FALSE)</f>
        <v>PZ 0705/19-E.49</v>
      </c>
      <c r="P77" s="27">
        <f>VLOOKUP(D77,'[1]PZ a UTZ'!$C$341:$H$464,6,FALSE)</f>
        <v>44167</v>
      </c>
      <c r="Q77" s="27">
        <f>EDATE(P77,60)</f>
        <v>45993</v>
      </c>
      <c r="R77" s="242" t="s">
        <v>1520</v>
      </c>
      <c r="S77" s="258">
        <v>725741945</v>
      </c>
      <c r="T77" s="289" t="s">
        <v>1646</v>
      </c>
    </row>
    <row r="78" spans="2:20" x14ac:dyDescent="0.25">
      <c r="B78" s="10">
        <v>77</v>
      </c>
      <c r="C78" s="45" t="s">
        <v>190</v>
      </c>
      <c r="D78" s="128" t="s">
        <v>620</v>
      </c>
      <c r="E78" s="46" t="s">
        <v>94</v>
      </c>
      <c r="F78" s="47">
        <v>41.112000000000002</v>
      </c>
      <c r="G78" s="47" t="s">
        <v>621</v>
      </c>
      <c r="H78" s="48">
        <v>2015</v>
      </c>
      <c r="I78" s="49">
        <v>44166</v>
      </c>
      <c r="J78" s="49" t="s">
        <v>46</v>
      </c>
      <c r="K78" s="48">
        <v>2015</v>
      </c>
      <c r="L78" s="49" t="s">
        <v>622</v>
      </c>
      <c r="M78" s="27">
        <v>44181</v>
      </c>
      <c r="N78" s="27">
        <f t="shared" si="2"/>
        <v>46007</v>
      </c>
      <c r="O78" s="27" t="str">
        <f>VLOOKUP(F78,'[1]PZ a UTZ'!$E$2:$H$335,3,FALSE)</f>
        <v>PZ 2733/15-E.49</v>
      </c>
      <c r="P78" s="27">
        <f>VLOOKUP(F78,'[1]PZ a UTZ'!$E$2:$H$335,4,FALSE)</f>
        <v>44123</v>
      </c>
      <c r="Q78" s="27">
        <f>EDATE(P78,60)</f>
        <v>45949</v>
      </c>
      <c r="R78" s="242" t="s">
        <v>1521</v>
      </c>
      <c r="S78" s="258">
        <v>602668275</v>
      </c>
      <c r="T78" s="274" t="s">
        <v>1647</v>
      </c>
    </row>
    <row r="79" spans="2:20" x14ac:dyDescent="0.25">
      <c r="B79" s="10">
        <v>78</v>
      </c>
      <c r="C79" s="57" t="s">
        <v>885</v>
      </c>
      <c r="D79" s="58" t="s">
        <v>900</v>
      </c>
      <c r="E79" s="59" t="s">
        <v>94</v>
      </c>
      <c r="F79" s="60">
        <v>41.518000000000001</v>
      </c>
      <c r="G79" s="112" t="s">
        <v>1276</v>
      </c>
      <c r="H79" s="62">
        <v>2015</v>
      </c>
      <c r="I79" s="64">
        <v>44166</v>
      </c>
      <c r="J79" s="64" t="s">
        <v>46</v>
      </c>
      <c r="K79" s="62">
        <v>2015</v>
      </c>
      <c r="L79" s="96"/>
      <c r="M79" s="97">
        <v>44181</v>
      </c>
      <c r="N79" s="97">
        <f t="shared" si="2"/>
        <v>46007</v>
      </c>
      <c r="O79" s="209"/>
      <c r="P79" s="209"/>
      <c r="Q79" s="209"/>
      <c r="R79" s="245" t="s">
        <v>1521</v>
      </c>
      <c r="S79" s="261">
        <v>602668275</v>
      </c>
      <c r="T79" s="275" t="s">
        <v>956</v>
      </c>
    </row>
    <row r="80" spans="2:20" x14ac:dyDescent="0.25">
      <c r="B80" s="10">
        <v>79</v>
      </c>
      <c r="C80" s="90" t="s">
        <v>90</v>
      </c>
      <c r="D80" s="22" t="s">
        <v>1307</v>
      </c>
      <c r="E80" s="46" t="s">
        <v>94</v>
      </c>
      <c r="F80" s="54">
        <v>41.518000000000001</v>
      </c>
      <c r="G80" s="47"/>
      <c r="H80" s="48">
        <v>2015</v>
      </c>
      <c r="I80" s="49">
        <v>44166</v>
      </c>
      <c r="J80" s="49" t="s">
        <v>46</v>
      </c>
      <c r="K80" s="48">
        <v>2015</v>
      </c>
      <c r="L80" s="49" t="s">
        <v>104</v>
      </c>
      <c r="M80" s="27">
        <v>44181</v>
      </c>
      <c r="N80" s="27">
        <f t="shared" si="2"/>
        <v>46007</v>
      </c>
      <c r="O80" s="27" t="str">
        <f>VLOOKUP(D80,'[1]PZ a UTZ'!$C$341:$H$464,5,FALSE)</f>
        <v>PZ 2734/15-E.49</v>
      </c>
      <c r="P80" s="27">
        <f>VLOOKUP(D80,'[1]PZ a UTZ'!$C$341:$H$464,6,FALSE)</f>
        <v>44123</v>
      </c>
      <c r="Q80" s="27">
        <f>EDATE(P80,60)</f>
        <v>45949</v>
      </c>
      <c r="R80" s="242" t="s">
        <v>1521</v>
      </c>
      <c r="S80" s="258">
        <v>602668275</v>
      </c>
      <c r="T80" s="274" t="s">
        <v>956</v>
      </c>
    </row>
    <row r="81" spans="2:20" x14ac:dyDescent="0.25">
      <c r="B81" s="10">
        <v>80</v>
      </c>
      <c r="C81" s="90" t="s">
        <v>90</v>
      </c>
      <c r="D81" s="22" t="s">
        <v>105</v>
      </c>
      <c r="E81" s="46" t="s">
        <v>94</v>
      </c>
      <c r="F81" s="54">
        <v>33.957999999999998</v>
      </c>
      <c r="G81" s="47"/>
      <c r="H81" s="48">
        <v>2015</v>
      </c>
      <c r="I81" s="49">
        <v>44166</v>
      </c>
      <c r="J81" s="49" t="s">
        <v>46</v>
      </c>
      <c r="K81" s="48">
        <v>2015</v>
      </c>
      <c r="L81" s="49" t="s">
        <v>106</v>
      </c>
      <c r="M81" s="27">
        <v>44182</v>
      </c>
      <c r="N81" s="27">
        <f t="shared" si="2"/>
        <v>46008</v>
      </c>
      <c r="O81" s="27" t="str">
        <f>VLOOKUP(D81,'[1]PZ a UTZ'!$C$341:$H$464,5,FALSE)</f>
        <v>PZ 2735/15-E.49</v>
      </c>
      <c r="P81" s="27">
        <f>VLOOKUP(D81,'[1]PZ a UTZ'!$C$341:$H$464,6,FALSE)</f>
        <v>44113</v>
      </c>
      <c r="Q81" s="27">
        <f>EDATE(P81,60)</f>
        <v>45939</v>
      </c>
      <c r="R81" s="242" t="s">
        <v>1521</v>
      </c>
      <c r="S81" s="258">
        <v>602668275</v>
      </c>
      <c r="T81" s="274" t="s">
        <v>957</v>
      </c>
    </row>
    <row r="82" spans="2:20" x14ac:dyDescent="0.25">
      <c r="B82" s="10">
        <v>81</v>
      </c>
      <c r="C82" s="57" t="s">
        <v>885</v>
      </c>
      <c r="D82" s="58" t="s">
        <v>105</v>
      </c>
      <c r="E82" s="59" t="s">
        <v>94</v>
      </c>
      <c r="F82" s="60">
        <v>33.957999999999998</v>
      </c>
      <c r="G82" s="112" t="s">
        <v>1276</v>
      </c>
      <c r="H82" s="62">
        <v>2015</v>
      </c>
      <c r="I82" s="64">
        <v>44166</v>
      </c>
      <c r="J82" s="64" t="s">
        <v>46</v>
      </c>
      <c r="K82" s="62">
        <v>2015</v>
      </c>
      <c r="L82" s="96" t="s">
        <v>106</v>
      </c>
      <c r="M82" s="97">
        <v>44182</v>
      </c>
      <c r="N82" s="97">
        <f t="shared" si="2"/>
        <v>46008</v>
      </c>
      <c r="O82" s="209"/>
      <c r="P82" s="209"/>
      <c r="Q82" s="209"/>
      <c r="R82" s="245" t="s">
        <v>1521</v>
      </c>
      <c r="S82" s="261">
        <v>602668275</v>
      </c>
      <c r="T82" s="275" t="s">
        <v>957</v>
      </c>
    </row>
    <row r="83" spans="2:20" x14ac:dyDescent="0.25">
      <c r="B83" s="10">
        <v>82</v>
      </c>
      <c r="C83" s="45" t="s">
        <v>190</v>
      </c>
      <c r="D83" s="22" t="s">
        <v>633</v>
      </c>
      <c r="E83" s="46" t="s">
        <v>94</v>
      </c>
      <c r="F83" s="47">
        <v>33.378</v>
      </c>
      <c r="G83" s="47" t="s">
        <v>634</v>
      </c>
      <c r="H83" s="48">
        <v>2015</v>
      </c>
      <c r="I83" s="49">
        <v>44166</v>
      </c>
      <c r="J83" s="49" t="s">
        <v>46</v>
      </c>
      <c r="K83" s="48">
        <v>2015</v>
      </c>
      <c r="L83" s="49" t="s">
        <v>635</v>
      </c>
      <c r="M83" s="27">
        <v>44183</v>
      </c>
      <c r="N83" s="27">
        <f t="shared" si="2"/>
        <v>46009</v>
      </c>
      <c r="O83" s="27" t="str">
        <f>VLOOKUP(F83,'[1]PZ a UTZ'!$E$2:$H$335,3,FALSE)</f>
        <v>PZ 2731/15-E.49</v>
      </c>
      <c r="P83" s="27">
        <f>VLOOKUP(F83,'[1]PZ a UTZ'!$E$2:$H$335,4,FALSE)</f>
        <v>44113</v>
      </c>
      <c r="Q83" s="27">
        <f t="shared" ref="Q83:Q89" si="3">EDATE(P83,60)</f>
        <v>45939</v>
      </c>
      <c r="R83" s="242" t="s">
        <v>1521</v>
      </c>
      <c r="S83" s="258">
        <v>602668275</v>
      </c>
      <c r="T83" s="274" t="s">
        <v>1165</v>
      </c>
    </row>
    <row r="84" spans="2:20" x14ac:dyDescent="0.25">
      <c r="B84" s="10">
        <v>83</v>
      </c>
      <c r="C84" s="45" t="s">
        <v>190</v>
      </c>
      <c r="D84" s="22" t="s">
        <v>105</v>
      </c>
      <c r="E84" s="46" t="s">
        <v>94</v>
      </c>
      <c r="F84" s="47">
        <v>34.698</v>
      </c>
      <c r="G84" s="47" t="s">
        <v>631</v>
      </c>
      <c r="H84" s="48">
        <v>2015</v>
      </c>
      <c r="I84" s="49">
        <v>44166</v>
      </c>
      <c r="J84" s="49" t="s">
        <v>46</v>
      </c>
      <c r="K84" s="48">
        <v>2015</v>
      </c>
      <c r="L84" s="49" t="s">
        <v>632</v>
      </c>
      <c r="M84" s="27">
        <v>44183</v>
      </c>
      <c r="N84" s="27">
        <f t="shared" si="2"/>
        <v>46009</v>
      </c>
      <c r="O84" s="27" t="str">
        <f>VLOOKUP(F84,'[1]PZ a UTZ'!$E$2:$H$335,3,FALSE)</f>
        <v>PZ 2732/15-E.49</v>
      </c>
      <c r="P84" s="27">
        <f>VLOOKUP(F84,'[1]PZ a UTZ'!$E$2:$H$335,4,FALSE)</f>
        <v>44113</v>
      </c>
      <c r="Q84" s="27">
        <f t="shared" si="3"/>
        <v>45939</v>
      </c>
      <c r="R84" s="242" t="s">
        <v>1521</v>
      </c>
      <c r="S84" s="258">
        <v>602668275</v>
      </c>
      <c r="T84" s="274" t="s">
        <v>1164</v>
      </c>
    </row>
    <row r="85" spans="2:20" x14ac:dyDescent="0.25">
      <c r="B85" s="10">
        <v>84</v>
      </c>
      <c r="C85" s="29" t="s">
        <v>190</v>
      </c>
      <c r="D85" s="30" t="s">
        <v>236</v>
      </c>
      <c r="E85" s="31" t="s">
        <v>39</v>
      </c>
      <c r="F85" s="129">
        <v>304.12099999999998</v>
      </c>
      <c r="G85" s="33" t="s">
        <v>239</v>
      </c>
      <c r="H85" s="99">
        <v>2021</v>
      </c>
      <c r="I85" s="44">
        <v>44197</v>
      </c>
      <c r="J85" s="44" t="s">
        <v>77</v>
      </c>
      <c r="K85" s="36">
        <v>2021</v>
      </c>
      <c r="L85" s="35" t="s">
        <v>176</v>
      </c>
      <c r="M85" s="37">
        <v>44207</v>
      </c>
      <c r="N85" s="37">
        <f t="shared" si="2"/>
        <v>46033</v>
      </c>
      <c r="O85" s="37" t="s">
        <v>1522</v>
      </c>
      <c r="P85" s="37">
        <v>44693</v>
      </c>
      <c r="Q85" s="37">
        <f t="shared" si="3"/>
        <v>46519</v>
      </c>
      <c r="R85" s="243" t="s">
        <v>1519</v>
      </c>
      <c r="S85" s="259">
        <v>602668277</v>
      </c>
      <c r="T85" s="270" t="s">
        <v>1020</v>
      </c>
    </row>
    <row r="86" spans="2:20" x14ac:dyDescent="0.25">
      <c r="B86" s="10">
        <v>85</v>
      </c>
      <c r="C86" s="119" t="s">
        <v>72</v>
      </c>
      <c r="D86" s="30" t="s">
        <v>1308</v>
      </c>
      <c r="E86" s="130" t="s">
        <v>39</v>
      </c>
      <c r="F86" s="118">
        <v>313.85899999999998</v>
      </c>
      <c r="G86" s="84" t="s">
        <v>1309</v>
      </c>
      <c r="H86" s="34">
        <v>2007</v>
      </c>
      <c r="I86" s="44">
        <v>44501</v>
      </c>
      <c r="J86" s="44" t="s">
        <v>77</v>
      </c>
      <c r="K86" s="36">
        <v>2021</v>
      </c>
      <c r="L86" s="35" t="s">
        <v>176</v>
      </c>
      <c r="M86" s="37">
        <v>44207</v>
      </c>
      <c r="N86" s="37">
        <f t="shared" si="2"/>
        <v>46033</v>
      </c>
      <c r="O86" s="37" t="e">
        <f>VLOOKUP(D86,'[1]PZ a UTZ'!B481:G574,5,FALSE)</f>
        <v>#N/A</v>
      </c>
      <c r="P86" s="37" t="e">
        <f>VLOOKUP(D86,'[1]PZ a UTZ'!B481:G574,6,FALSE)</f>
        <v>#N/A</v>
      </c>
      <c r="Q86" s="37" t="e">
        <f t="shared" si="3"/>
        <v>#N/A</v>
      </c>
      <c r="R86" s="243" t="s">
        <v>1519</v>
      </c>
      <c r="S86" s="259">
        <v>602668277</v>
      </c>
      <c r="T86" s="290" t="s">
        <v>1648</v>
      </c>
    </row>
    <row r="87" spans="2:20" x14ac:dyDescent="0.25">
      <c r="B87" s="10">
        <v>86</v>
      </c>
      <c r="C87" s="119" t="s">
        <v>72</v>
      </c>
      <c r="D87" s="30" t="s">
        <v>1310</v>
      </c>
      <c r="E87" s="130" t="s">
        <v>39</v>
      </c>
      <c r="F87" s="118">
        <v>313.85899999999998</v>
      </c>
      <c r="G87" s="84" t="s">
        <v>1311</v>
      </c>
      <c r="H87" s="131">
        <v>2021</v>
      </c>
      <c r="I87" s="44">
        <v>44501</v>
      </c>
      <c r="J87" s="44" t="s">
        <v>1312</v>
      </c>
      <c r="K87" s="36" t="s">
        <v>1313</v>
      </c>
      <c r="L87" s="35" t="s">
        <v>176</v>
      </c>
      <c r="M87" s="37">
        <v>44207</v>
      </c>
      <c r="N87" s="37">
        <f t="shared" si="2"/>
        <v>46033</v>
      </c>
      <c r="O87" s="37" t="s">
        <v>1523</v>
      </c>
      <c r="P87" s="248">
        <v>43963</v>
      </c>
      <c r="Q87" s="248">
        <f t="shared" si="3"/>
        <v>45789</v>
      </c>
      <c r="R87" s="244" t="s">
        <v>1484</v>
      </c>
      <c r="S87" s="259">
        <v>724450266</v>
      </c>
      <c r="T87" s="290" t="s">
        <v>1649</v>
      </c>
    </row>
    <row r="88" spans="2:20" x14ac:dyDescent="0.25">
      <c r="B88" s="10">
        <v>87</v>
      </c>
      <c r="C88" s="45" t="s">
        <v>190</v>
      </c>
      <c r="D88" s="22" t="s">
        <v>698</v>
      </c>
      <c r="E88" s="46" t="s">
        <v>112</v>
      </c>
      <c r="F88" s="47">
        <v>35.130000000000003</v>
      </c>
      <c r="G88" s="47" t="s">
        <v>699</v>
      </c>
      <c r="H88" s="48">
        <v>2016</v>
      </c>
      <c r="I88" s="49">
        <v>44197</v>
      </c>
      <c r="J88" s="49" t="s">
        <v>46</v>
      </c>
      <c r="K88" s="48">
        <v>2016</v>
      </c>
      <c r="L88" s="49" t="s">
        <v>700</v>
      </c>
      <c r="M88" s="27">
        <v>44216</v>
      </c>
      <c r="N88" s="27">
        <f t="shared" si="2"/>
        <v>46042</v>
      </c>
      <c r="O88" s="27" t="str">
        <f>VLOOKUP(F88,'[1]PZ a UTZ'!$E$2:$H$335,3,FALSE)</f>
        <v>PZ 0910/16-E.49</v>
      </c>
      <c r="P88" s="27">
        <f>VLOOKUP(F88,'[1]PZ a UTZ'!$E$2:$H$335,4,FALSE)</f>
        <v>44216</v>
      </c>
      <c r="Q88" s="27">
        <f t="shared" si="3"/>
        <v>46042</v>
      </c>
      <c r="R88" s="242" t="s">
        <v>1524</v>
      </c>
      <c r="S88" s="258">
        <v>602668276</v>
      </c>
      <c r="T88" s="274" t="s">
        <v>1192</v>
      </c>
    </row>
    <row r="89" spans="2:20" x14ac:dyDescent="0.25">
      <c r="B89" s="10">
        <v>88</v>
      </c>
      <c r="C89" s="53" t="s">
        <v>14</v>
      </c>
      <c r="D89" s="22" t="s">
        <v>34</v>
      </c>
      <c r="E89" s="46" t="s">
        <v>25</v>
      </c>
      <c r="F89" s="124">
        <v>40.168999999999997</v>
      </c>
      <c r="G89" s="125"/>
      <c r="H89" s="132">
        <v>2005</v>
      </c>
      <c r="I89" s="49">
        <v>44197</v>
      </c>
      <c r="J89" s="49" t="s">
        <v>17</v>
      </c>
      <c r="K89" s="126">
        <v>2005</v>
      </c>
      <c r="L89" s="49" t="s">
        <v>35</v>
      </c>
      <c r="M89" s="27">
        <v>44217</v>
      </c>
      <c r="N89" s="27">
        <f t="shared" si="2"/>
        <v>46043</v>
      </c>
      <c r="O89" s="27" t="str">
        <f>VLOOKUP(D89,'[1]PZ a UTZ'!$C$341:$H$464,5,FALSE)</f>
        <v>PZ 0595/06-E.49</v>
      </c>
      <c r="P89" s="27">
        <f>VLOOKUP(D89,'[1]PZ a UTZ'!$C$341:$H$464,6,FALSE)</f>
        <v>44411</v>
      </c>
      <c r="Q89" s="27">
        <f t="shared" si="3"/>
        <v>46237</v>
      </c>
      <c r="R89" s="242" t="s">
        <v>1494</v>
      </c>
      <c r="S89" s="258">
        <v>602117762</v>
      </c>
      <c r="T89" s="291" t="s">
        <v>932</v>
      </c>
    </row>
    <row r="90" spans="2:20" x14ac:dyDescent="0.25">
      <c r="B90" s="10">
        <v>89</v>
      </c>
      <c r="C90" s="133" t="s">
        <v>1289</v>
      </c>
      <c r="D90" s="101" t="s">
        <v>34</v>
      </c>
      <c r="E90" s="102" t="s">
        <v>25</v>
      </c>
      <c r="F90" s="121">
        <v>40.168999999999997</v>
      </c>
      <c r="G90" s="122"/>
      <c r="H90" s="134">
        <v>2005</v>
      </c>
      <c r="I90" s="106">
        <v>44197</v>
      </c>
      <c r="J90" s="135" t="s">
        <v>657</v>
      </c>
      <c r="K90" s="107">
        <v>2005</v>
      </c>
      <c r="L90" s="106" t="s">
        <v>1314</v>
      </c>
      <c r="M90" s="108">
        <v>44217</v>
      </c>
      <c r="N90" s="108">
        <f t="shared" si="2"/>
        <v>46043</v>
      </c>
      <c r="O90" s="249"/>
      <c r="P90" s="249"/>
      <c r="Q90" s="249"/>
      <c r="R90" s="246" t="s">
        <v>1494</v>
      </c>
      <c r="S90" s="262">
        <v>602117762</v>
      </c>
      <c r="T90" s="288" t="s">
        <v>932</v>
      </c>
    </row>
    <row r="91" spans="2:20" x14ac:dyDescent="0.25">
      <c r="B91" s="10">
        <v>90</v>
      </c>
      <c r="C91" s="53" t="s">
        <v>14</v>
      </c>
      <c r="D91" s="22" t="s">
        <v>1315</v>
      </c>
      <c r="E91" s="123" t="s">
        <v>25</v>
      </c>
      <c r="F91" s="124">
        <v>2.4809999999999999</v>
      </c>
      <c r="G91" s="125"/>
      <c r="H91" s="126">
        <v>1945</v>
      </c>
      <c r="I91" s="127">
        <v>44197</v>
      </c>
      <c r="J91" s="127" t="s">
        <v>16</v>
      </c>
      <c r="K91" s="126">
        <v>1945</v>
      </c>
      <c r="L91" s="127" t="s">
        <v>26</v>
      </c>
      <c r="M91" s="27">
        <v>44223</v>
      </c>
      <c r="N91" s="27">
        <f t="shared" si="2"/>
        <v>46049</v>
      </c>
      <c r="O91" s="27" t="str">
        <f>VLOOKUP(D91,'[1]PZ a UTZ'!$C$341:$H$464,5,FALSE)</f>
        <v>PZ 4316/97-E.49</v>
      </c>
      <c r="P91" s="27">
        <f>VLOOKUP(D91,'[1]PZ a UTZ'!$C$341:$H$464,6,FALSE)</f>
        <v>44246</v>
      </c>
      <c r="Q91" s="27">
        <f>EDATE(P91,60)</f>
        <v>46072</v>
      </c>
      <c r="R91" s="242" t="s">
        <v>1525</v>
      </c>
      <c r="S91" s="258">
        <v>725339121</v>
      </c>
      <c r="T91" s="276" t="s">
        <v>1650</v>
      </c>
    </row>
    <row r="92" spans="2:20" x14ac:dyDescent="0.25">
      <c r="B92" s="10">
        <v>91</v>
      </c>
      <c r="C92" s="53" t="s">
        <v>14</v>
      </c>
      <c r="D92" s="22" t="s">
        <v>1316</v>
      </c>
      <c r="E92" s="46" t="s">
        <v>63</v>
      </c>
      <c r="F92" s="54">
        <v>148.83000000000001</v>
      </c>
      <c r="G92" s="47" t="s">
        <v>1317</v>
      </c>
      <c r="H92" s="48">
        <v>1974</v>
      </c>
      <c r="I92" s="49">
        <v>44228</v>
      </c>
      <c r="J92" s="49" t="s">
        <v>16</v>
      </c>
      <c r="K92" s="56">
        <v>1974</v>
      </c>
      <c r="L92" s="49" t="s">
        <v>76</v>
      </c>
      <c r="M92" s="27">
        <v>44228</v>
      </c>
      <c r="N92" s="27">
        <f t="shared" si="2"/>
        <v>46054</v>
      </c>
      <c r="O92" s="27" t="str">
        <f>VLOOKUP(D92,'[1]PZ a UTZ'!$C$341:$H$464,5,FALSE)</f>
        <v>PZ 12088/96-E.49</v>
      </c>
      <c r="P92" s="27">
        <f>VLOOKUP(D92,'[1]PZ a UTZ'!$C$341:$H$464,6,FALSE)</f>
        <v>44336</v>
      </c>
      <c r="Q92" s="27">
        <f>EDATE(P92,60)</f>
        <v>46162</v>
      </c>
      <c r="R92" s="242" t="s">
        <v>1496</v>
      </c>
      <c r="S92" s="258">
        <v>601375102</v>
      </c>
      <c r="T92" s="292" t="s">
        <v>944</v>
      </c>
    </row>
    <row r="93" spans="2:20" x14ac:dyDescent="0.25">
      <c r="B93" s="10">
        <v>92</v>
      </c>
      <c r="C93" s="100" t="s">
        <v>1289</v>
      </c>
      <c r="D93" s="101" t="s">
        <v>1316</v>
      </c>
      <c r="E93" s="102" t="s">
        <v>63</v>
      </c>
      <c r="F93" s="103">
        <v>148.83000000000001</v>
      </c>
      <c r="G93" s="104" t="s">
        <v>1318</v>
      </c>
      <c r="H93" s="105">
        <v>1974</v>
      </c>
      <c r="I93" s="106">
        <v>44228</v>
      </c>
      <c r="J93" s="106" t="s">
        <v>16</v>
      </c>
      <c r="K93" s="107">
        <v>1974</v>
      </c>
      <c r="L93" s="106" t="s">
        <v>1319</v>
      </c>
      <c r="M93" s="108">
        <v>44228</v>
      </c>
      <c r="N93" s="108">
        <f t="shared" si="2"/>
        <v>46054</v>
      </c>
      <c r="O93" s="209"/>
      <c r="P93" s="209"/>
      <c r="Q93" s="209"/>
      <c r="R93" s="246" t="s">
        <v>1496</v>
      </c>
      <c r="S93" s="262">
        <v>601375102</v>
      </c>
      <c r="T93" s="293" t="s">
        <v>944</v>
      </c>
    </row>
    <row r="94" spans="2:20" x14ac:dyDescent="0.25">
      <c r="B94" s="10">
        <v>93</v>
      </c>
      <c r="C94" s="71" t="s">
        <v>190</v>
      </c>
      <c r="D94" s="30" t="s">
        <v>75</v>
      </c>
      <c r="E94" s="72" t="s">
        <v>63</v>
      </c>
      <c r="F94" s="73">
        <v>150.637</v>
      </c>
      <c r="G94" s="73" t="s">
        <v>460</v>
      </c>
      <c r="H94" s="95">
        <v>1975</v>
      </c>
      <c r="I94" s="44">
        <v>44228</v>
      </c>
      <c r="J94" s="44" t="s">
        <v>46</v>
      </c>
      <c r="K94" s="85">
        <v>2019</v>
      </c>
      <c r="L94" s="35" t="s">
        <v>176</v>
      </c>
      <c r="M94" s="37">
        <v>44237</v>
      </c>
      <c r="N94" s="37">
        <f t="shared" si="2"/>
        <v>46063</v>
      </c>
      <c r="O94" s="37" t="s">
        <v>1526</v>
      </c>
      <c r="P94" s="37">
        <v>44231</v>
      </c>
      <c r="Q94" s="37">
        <f>EDATE(P94,60)</f>
        <v>46057</v>
      </c>
      <c r="R94" s="243" t="s">
        <v>1527</v>
      </c>
      <c r="S94" s="259">
        <v>607032129</v>
      </c>
      <c r="T94" s="278" t="s">
        <v>1105</v>
      </c>
    </row>
    <row r="95" spans="2:20" x14ac:dyDescent="0.25">
      <c r="B95" s="10">
        <v>94</v>
      </c>
      <c r="C95" s="45" t="s">
        <v>190</v>
      </c>
      <c r="D95" s="22" t="s">
        <v>461</v>
      </c>
      <c r="E95" s="46" t="s">
        <v>63</v>
      </c>
      <c r="F95" s="47">
        <v>153.06700000000001</v>
      </c>
      <c r="G95" s="47" t="s">
        <v>462</v>
      </c>
      <c r="H95" s="48">
        <v>2006</v>
      </c>
      <c r="I95" s="49">
        <v>44228</v>
      </c>
      <c r="J95" s="49" t="s">
        <v>46</v>
      </c>
      <c r="K95" s="48">
        <v>2006</v>
      </c>
      <c r="L95" s="49" t="s">
        <v>463</v>
      </c>
      <c r="M95" s="27">
        <v>44237</v>
      </c>
      <c r="N95" s="27">
        <f t="shared" si="2"/>
        <v>46063</v>
      </c>
      <c r="O95" s="27" t="s">
        <v>1528</v>
      </c>
      <c r="P95" s="27">
        <v>44231</v>
      </c>
      <c r="Q95" s="27">
        <f>EDATE(P95,60)</f>
        <v>46057</v>
      </c>
      <c r="R95" s="242" t="s">
        <v>1496</v>
      </c>
      <c r="S95" s="258">
        <v>601375102</v>
      </c>
      <c r="T95" s="274" t="s">
        <v>1106</v>
      </c>
    </row>
    <row r="96" spans="2:20" x14ac:dyDescent="0.25">
      <c r="B96" s="10">
        <v>95</v>
      </c>
      <c r="C96" s="68" t="s">
        <v>164</v>
      </c>
      <c r="D96" s="22" t="s">
        <v>1320</v>
      </c>
      <c r="E96" s="46" t="s">
        <v>133</v>
      </c>
      <c r="F96" s="69">
        <v>390.97500000000002</v>
      </c>
      <c r="G96" s="24" t="s">
        <v>1321</v>
      </c>
      <c r="H96" s="25">
        <v>2011</v>
      </c>
      <c r="I96" s="55">
        <v>44228</v>
      </c>
      <c r="J96" s="49" t="s">
        <v>17</v>
      </c>
      <c r="K96" s="48">
        <v>2011</v>
      </c>
      <c r="L96" s="26" t="s">
        <v>185</v>
      </c>
      <c r="M96" s="27">
        <v>44249</v>
      </c>
      <c r="N96" s="27">
        <f t="shared" si="2"/>
        <v>46075</v>
      </c>
      <c r="O96" s="27" t="e">
        <f>VLOOKUP(D96,'[1]PZ a UTZ'!B490:G583,5,FALSE)</f>
        <v>#N/A</v>
      </c>
      <c r="P96" s="27" t="e">
        <f>VLOOKUP(D96,'[1]PZ a UTZ'!B490:G583,6,FALSE)</f>
        <v>#N/A</v>
      </c>
      <c r="Q96" s="27" t="e">
        <f>EDATE(P96,60)</f>
        <v>#N/A</v>
      </c>
      <c r="R96" s="242" t="s">
        <v>1529</v>
      </c>
      <c r="S96" s="258">
        <v>724214467</v>
      </c>
      <c r="T96" s="280" t="s">
        <v>997</v>
      </c>
    </row>
    <row r="97" spans="2:20" x14ac:dyDescent="0.25">
      <c r="B97" s="10">
        <v>96</v>
      </c>
      <c r="C97" s="68" t="s">
        <v>164</v>
      </c>
      <c r="D97" s="22" t="s">
        <v>1322</v>
      </c>
      <c r="E97" s="46" t="s">
        <v>133</v>
      </c>
      <c r="F97" s="54">
        <v>396.93599999999998</v>
      </c>
      <c r="G97" s="24" t="s">
        <v>1323</v>
      </c>
      <c r="H97" s="25">
        <v>2011</v>
      </c>
      <c r="I97" s="55">
        <v>44228</v>
      </c>
      <c r="J97" s="49" t="s">
        <v>17</v>
      </c>
      <c r="K97" s="48">
        <v>2011</v>
      </c>
      <c r="L97" s="26" t="s">
        <v>186</v>
      </c>
      <c r="M97" s="27">
        <v>44249</v>
      </c>
      <c r="N97" s="27">
        <f t="shared" si="2"/>
        <v>46075</v>
      </c>
      <c r="O97" s="27" t="e">
        <f>VLOOKUP(D97,'[1]PZ a UTZ'!B491:G584,5,FALSE)</f>
        <v>#N/A</v>
      </c>
      <c r="P97" s="27" t="e">
        <f>VLOOKUP(D97,'[1]PZ a UTZ'!B491:G584,6,FALSE)</f>
        <v>#N/A</v>
      </c>
      <c r="Q97" s="27" t="e">
        <f>EDATE(P97,60)</f>
        <v>#N/A</v>
      </c>
      <c r="R97" s="242" t="s">
        <v>1504</v>
      </c>
      <c r="S97" s="258">
        <v>725582094</v>
      </c>
      <c r="T97" s="280" t="s">
        <v>998</v>
      </c>
    </row>
    <row r="98" spans="2:20" x14ac:dyDescent="0.25">
      <c r="B98" s="10">
        <v>97</v>
      </c>
      <c r="C98" s="57" t="s">
        <v>885</v>
      </c>
      <c r="D98" s="136" t="s">
        <v>1306</v>
      </c>
      <c r="E98" s="137" t="s">
        <v>39</v>
      </c>
      <c r="F98" s="60">
        <v>289.61</v>
      </c>
      <c r="G98" s="61" t="s">
        <v>1276</v>
      </c>
      <c r="H98" s="62">
        <v>2015</v>
      </c>
      <c r="I98" s="64">
        <v>44256</v>
      </c>
      <c r="J98" s="64" t="s">
        <v>907</v>
      </c>
      <c r="K98" s="113">
        <v>2015</v>
      </c>
      <c r="L98" s="64" t="s">
        <v>908</v>
      </c>
      <c r="M98" s="67">
        <v>44251</v>
      </c>
      <c r="N98" s="67">
        <f t="shared" si="2"/>
        <v>46077</v>
      </c>
      <c r="O98" s="209"/>
      <c r="P98" s="209"/>
      <c r="Q98" s="209"/>
      <c r="R98" s="245" t="s">
        <v>1520</v>
      </c>
      <c r="S98" s="261">
        <v>725741945</v>
      </c>
      <c r="T98" s="294" t="s">
        <v>1646</v>
      </c>
    </row>
    <row r="99" spans="2:20" x14ac:dyDescent="0.25">
      <c r="B99" s="10">
        <v>98</v>
      </c>
      <c r="C99" s="81" t="s">
        <v>190</v>
      </c>
      <c r="D99" s="22" t="s">
        <v>1324</v>
      </c>
      <c r="E99" s="46" t="s">
        <v>133</v>
      </c>
      <c r="F99" s="24">
        <v>403.91899999999998</v>
      </c>
      <c r="G99" s="24" t="s">
        <v>845</v>
      </c>
      <c r="H99" s="25">
        <v>2011</v>
      </c>
      <c r="I99" s="26">
        <v>44256</v>
      </c>
      <c r="J99" s="49" t="s">
        <v>17</v>
      </c>
      <c r="K99" s="48">
        <v>2011</v>
      </c>
      <c r="L99" s="26" t="s">
        <v>846</v>
      </c>
      <c r="M99" s="27">
        <v>44257</v>
      </c>
      <c r="N99" s="27">
        <f t="shared" si="2"/>
        <v>46083</v>
      </c>
      <c r="O99" s="27" t="str">
        <f>VLOOKUP(F99,'[1]PZ a UTZ'!$E$2:$H$335,3,FALSE)</f>
        <v>PZ 720/12-E.49</v>
      </c>
      <c r="P99" s="27">
        <f>VLOOKUP(F99,'[1]PZ a UTZ'!$E$2:$H$335,4,FALSE)</f>
        <v>44258</v>
      </c>
      <c r="Q99" s="27">
        <f>EDATE(P99,60)</f>
        <v>46084</v>
      </c>
      <c r="R99" s="242" t="s">
        <v>1504</v>
      </c>
      <c r="S99" s="258">
        <v>725582094</v>
      </c>
      <c r="T99" s="276" t="s">
        <v>1651</v>
      </c>
    </row>
    <row r="100" spans="2:20" x14ac:dyDescent="0.25">
      <c r="B100" s="10">
        <v>99</v>
      </c>
      <c r="C100" s="53" t="s">
        <v>14</v>
      </c>
      <c r="D100" s="22" t="s">
        <v>146</v>
      </c>
      <c r="E100" s="46" t="s">
        <v>133</v>
      </c>
      <c r="F100" s="54">
        <v>396.93599999999998</v>
      </c>
      <c r="G100" s="47"/>
      <c r="H100" s="48">
        <v>2011</v>
      </c>
      <c r="I100" s="138">
        <v>44228</v>
      </c>
      <c r="J100" s="49" t="s">
        <v>17</v>
      </c>
      <c r="K100" s="48">
        <v>2011</v>
      </c>
      <c r="L100" s="49" t="s">
        <v>147</v>
      </c>
      <c r="M100" s="27">
        <v>44257</v>
      </c>
      <c r="N100" s="27">
        <f t="shared" si="2"/>
        <v>46083</v>
      </c>
      <c r="O100" s="27" t="str">
        <f>VLOOKUP(D100,'[1]PZ a UTZ'!$C$341:$H$464,5,FALSE)</f>
        <v>PZ 723/12-E.49</v>
      </c>
      <c r="P100" s="27">
        <f>VLOOKUP(D100,'[1]PZ a UTZ'!$C$341:$H$464,6,FALSE)</f>
        <v>44257</v>
      </c>
      <c r="Q100" s="27">
        <f>EDATE(P100,60)</f>
        <v>46083</v>
      </c>
      <c r="R100" s="242" t="s">
        <v>1529</v>
      </c>
      <c r="S100" s="258">
        <v>724214467</v>
      </c>
      <c r="T100" s="274" t="s">
        <v>975</v>
      </c>
    </row>
    <row r="101" spans="2:20" x14ac:dyDescent="0.25">
      <c r="B101" s="10">
        <v>100</v>
      </c>
      <c r="C101" s="57" t="s">
        <v>885</v>
      </c>
      <c r="D101" s="58" t="s">
        <v>146</v>
      </c>
      <c r="E101" s="59" t="s">
        <v>133</v>
      </c>
      <c r="F101" s="60">
        <v>396.93599999999998</v>
      </c>
      <c r="G101" s="61" t="s">
        <v>1276</v>
      </c>
      <c r="H101" s="62">
        <v>2011</v>
      </c>
      <c r="I101" s="139">
        <v>44256</v>
      </c>
      <c r="J101" s="64" t="s">
        <v>17</v>
      </c>
      <c r="K101" s="62">
        <v>2011</v>
      </c>
      <c r="L101" s="64" t="s">
        <v>893</v>
      </c>
      <c r="M101" s="67">
        <v>44257</v>
      </c>
      <c r="N101" s="67">
        <f t="shared" si="2"/>
        <v>46083</v>
      </c>
      <c r="O101" s="209"/>
      <c r="P101" s="209"/>
      <c r="Q101" s="209"/>
      <c r="R101" s="245" t="s">
        <v>1529</v>
      </c>
      <c r="S101" s="261">
        <v>724214467</v>
      </c>
      <c r="T101" s="275" t="s">
        <v>975</v>
      </c>
    </row>
    <row r="102" spans="2:20" x14ac:dyDescent="0.25">
      <c r="B102" s="10">
        <v>101</v>
      </c>
      <c r="C102" s="71" t="s">
        <v>190</v>
      </c>
      <c r="D102" s="30" t="s">
        <v>127</v>
      </c>
      <c r="E102" s="72" t="s">
        <v>112</v>
      </c>
      <c r="F102" s="73">
        <v>30.202999999999999</v>
      </c>
      <c r="G102" s="73" t="s">
        <v>691</v>
      </c>
      <c r="H102" s="89">
        <v>2021</v>
      </c>
      <c r="I102" s="35">
        <v>44256</v>
      </c>
      <c r="J102" s="35" t="s">
        <v>77</v>
      </c>
      <c r="K102" s="89">
        <v>2021</v>
      </c>
      <c r="L102" s="35" t="s">
        <v>176</v>
      </c>
      <c r="M102" s="37">
        <v>44268</v>
      </c>
      <c r="N102" s="37">
        <f t="shared" si="2"/>
        <v>46094</v>
      </c>
      <c r="O102" s="37" t="str">
        <f>VLOOKUP(F102,'[1]PZ a UTZ'!$E$2:$H$335,3,FALSE)</f>
        <v>PZ 0708/21-E.49</v>
      </c>
      <c r="P102" s="37">
        <f>VLOOKUP(F102,'[1]PZ a UTZ'!$E$2:$H$335,4,FALSE)</f>
        <v>44277</v>
      </c>
      <c r="Q102" s="37">
        <f t="shared" ref="Q102:Q108" si="4">EDATE(P102,60)</f>
        <v>46103</v>
      </c>
      <c r="R102" s="243" t="s">
        <v>1487</v>
      </c>
      <c r="S102" s="259">
        <v>725339123</v>
      </c>
      <c r="T102" s="278" t="s">
        <v>1188</v>
      </c>
    </row>
    <row r="103" spans="2:20" x14ac:dyDescent="0.25">
      <c r="B103" s="10">
        <v>102</v>
      </c>
      <c r="C103" s="81" t="s">
        <v>190</v>
      </c>
      <c r="D103" s="22" t="s">
        <v>824</v>
      </c>
      <c r="E103" s="51" t="s">
        <v>825</v>
      </c>
      <c r="F103" s="24">
        <v>12.587</v>
      </c>
      <c r="G103" s="24" t="s">
        <v>826</v>
      </c>
      <c r="H103" s="25">
        <v>2016</v>
      </c>
      <c r="I103" s="26">
        <v>44256</v>
      </c>
      <c r="J103" s="26" t="s">
        <v>124</v>
      </c>
      <c r="K103" s="25">
        <v>2016</v>
      </c>
      <c r="L103" s="26" t="s">
        <v>827</v>
      </c>
      <c r="M103" s="27">
        <v>44273</v>
      </c>
      <c r="N103" s="27">
        <f t="shared" si="2"/>
        <v>46099</v>
      </c>
      <c r="O103" s="27" t="str">
        <f>VLOOKUP(F103,'[1]PZ a UTZ'!$E$2:$H$335,3,FALSE)</f>
        <v>PZ 1016/16-E.49</v>
      </c>
      <c r="P103" s="27">
        <f>VLOOKUP(F103,'[1]PZ a UTZ'!$E$2:$H$335,4,FALSE)</f>
        <v>44273</v>
      </c>
      <c r="Q103" s="27">
        <f t="shared" si="4"/>
        <v>46099</v>
      </c>
      <c r="R103" s="242" t="s">
        <v>1530</v>
      </c>
      <c r="S103" s="258">
        <v>725582092</v>
      </c>
      <c r="T103" s="268" t="s">
        <v>1246</v>
      </c>
    </row>
    <row r="104" spans="2:20" x14ac:dyDescent="0.25">
      <c r="B104" s="10">
        <v>103</v>
      </c>
      <c r="C104" s="81" t="s">
        <v>190</v>
      </c>
      <c r="D104" s="22" t="s">
        <v>828</v>
      </c>
      <c r="E104" s="51" t="s">
        <v>825</v>
      </c>
      <c r="F104" s="24">
        <v>19.864000000000001</v>
      </c>
      <c r="G104" s="24" t="s">
        <v>829</v>
      </c>
      <c r="H104" s="25">
        <v>2016</v>
      </c>
      <c r="I104" s="26">
        <v>44256</v>
      </c>
      <c r="J104" s="26" t="s">
        <v>124</v>
      </c>
      <c r="K104" s="25">
        <v>2016</v>
      </c>
      <c r="L104" s="26" t="s">
        <v>830</v>
      </c>
      <c r="M104" s="27">
        <v>44273</v>
      </c>
      <c r="N104" s="27">
        <f t="shared" si="2"/>
        <v>46099</v>
      </c>
      <c r="O104" s="27" t="str">
        <f>VLOOKUP(F104,'[1]PZ a UTZ'!$E$2:$H$335,3,FALSE)</f>
        <v>PZ 1015/16-E.49</v>
      </c>
      <c r="P104" s="27">
        <f>VLOOKUP(F104,'[1]PZ a UTZ'!$E$2:$H$335,4,FALSE)</f>
        <v>44273</v>
      </c>
      <c r="Q104" s="27">
        <f t="shared" si="4"/>
        <v>46099</v>
      </c>
      <c r="R104" s="242" t="s">
        <v>1530</v>
      </c>
      <c r="S104" s="258">
        <v>725582092</v>
      </c>
      <c r="T104" s="268" t="s">
        <v>1247</v>
      </c>
    </row>
    <row r="105" spans="2:20" x14ac:dyDescent="0.25">
      <c r="B105" s="10">
        <v>104</v>
      </c>
      <c r="C105" s="45" t="s">
        <v>190</v>
      </c>
      <c r="D105" s="22" t="s">
        <v>805</v>
      </c>
      <c r="E105" s="46" t="s">
        <v>772</v>
      </c>
      <c r="F105" s="140">
        <v>75.081000000000003</v>
      </c>
      <c r="G105" s="47" t="s">
        <v>806</v>
      </c>
      <c r="H105" s="48">
        <v>2011</v>
      </c>
      <c r="I105" s="26">
        <v>44256</v>
      </c>
      <c r="J105" s="49" t="s">
        <v>46</v>
      </c>
      <c r="K105" s="86">
        <v>2011</v>
      </c>
      <c r="L105" s="26" t="s">
        <v>807</v>
      </c>
      <c r="M105" s="27">
        <v>44273</v>
      </c>
      <c r="N105" s="27">
        <f t="shared" si="2"/>
        <v>46099</v>
      </c>
      <c r="O105" s="27" t="str">
        <f>VLOOKUP(D105,'[1]PZ a UTZ'!$C$341:$H$464,5,FALSE)</f>
        <v>PZ 2650/96-E.49</v>
      </c>
      <c r="P105" s="27">
        <f>VLOOKUP(D105,'[1]PZ a UTZ'!$C$341:$H$464,6,FALSE)</f>
        <v>45105</v>
      </c>
      <c r="Q105" s="27">
        <f t="shared" si="4"/>
        <v>46932</v>
      </c>
      <c r="R105" s="242" t="s">
        <v>797</v>
      </c>
      <c r="S105" s="258">
        <v>724862387</v>
      </c>
      <c r="T105" s="274" t="s">
        <v>1238</v>
      </c>
    </row>
    <row r="106" spans="2:20" x14ac:dyDescent="0.25">
      <c r="B106" s="10">
        <v>105</v>
      </c>
      <c r="C106" s="45" t="s">
        <v>190</v>
      </c>
      <c r="D106" s="22" t="s">
        <v>438</v>
      </c>
      <c r="E106" s="46" t="s">
        <v>63</v>
      </c>
      <c r="F106" s="47">
        <v>129.54499999999999</v>
      </c>
      <c r="G106" s="47" t="s">
        <v>439</v>
      </c>
      <c r="H106" s="95">
        <v>1986</v>
      </c>
      <c r="I106" s="49">
        <v>44256</v>
      </c>
      <c r="J106" s="49" t="s">
        <v>172</v>
      </c>
      <c r="K106" s="48">
        <v>1988</v>
      </c>
      <c r="L106" s="49" t="s">
        <v>440</v>
      </c>
      <c r="M106" s="27">
        <v>44279</v>
      </c>
      <c r="N106" s="27">
        <f t="shared" si="2"/>
        <v>46105</v>
      </c>
      <c r="O106" s="27" t="s">
        <v>1531</v>
      </c>
      <c r="P106" s="27">
        <v>44356</v>
      </c>
      <c r="Q106" s="27">
        <f t="shared" si="4"/>
        <v>46182</v>
      </c>
      <c r="R106" s="242" t="s">
        <v>1497</v>
      </c>
      <c r="S106" s="258">
        <v>724862430</v>
      </c>
      <c r="T106" s="274" t="s">
        <v>1095</v>
      </c>
    </row>
    <row r="107" spans="2:20" x14ac:dyDescent="0.25">
      <c r="B107" s="10">
        <v>106</v>
      </c>
      <c r="C107" s="53" t="s">
        <v>14</v>
      </c>
      <c r="D107" s="22" t="s">
        <v>67</v>
      </c>
      <c r="E107" s="46" t="s">
        <v>63</v>
      </c>
      <c r="F107" s="54">
        <v>130.208</v>
      </c>
      <c r="G107" s="47" t="s">
        <v>1291</v>
      </c>
      <c r="H107" s="95">
        <v>1980</v>
      </c>
      <c r="I107" s="49">
        <v>44256</v>
      </c>
      <c r="J107" s="49" t="s">
        <v>46</v>
      </c>
      <c r="K107" s="56">
        <v>2015</v>
      </c>
      <c r="L107" s="49" t="s">
        <v>68</v>
      </c>
      <c r="M107" s="27">
        <v>44279</v>
      </c>
      <c r="N107" s="27">
        <f t="shared" si="2"/>
        <v>46105</v>
      </c>
      <c r="O107" s="27" t="str">
        <f>VLOOKUP(D107,'[1]PZ a UTZ'!$C$341:$H$464,5,FALSE)</f>
        <v>PZ 10166/96-E.49</v>
      </c>
      <c r="P107" s="27">
        <f>VLOOKUP(D107,'[1]PZ a UTZ'!$C$341:$H$464,6,FALSE)</f>
        <v>44327</v>
      </c>
      <c r="Q107" s="27">
        <f t="shared" si="4"/>
        <v>46153</v>
      </c>
      <c r="R107" s="242" t="s">
        <v>1532</v>
      </c>
      <c r="S107" s="258">
        <v>725339118</v>
      </c>
      <c r="T107" s="274" t="s">
        <v>941</v>
      </c>
    </row>
    <row r="108" spans="2:20" x14ac:dyDescent="0.25">
      <c r="B108" s="10">
        <v>107</v>
      </c>
      <c r="C108" s="53" t="s">
        <v>14</v>
      </c>
      <c r="D108" s="22" t="s">
        <v>69</v>
      </c>
      <c r="E108" s="46" t="s">
        <v>63</v>
      </c>
      <c r="F108" s="54">
        <v>134.95699999999999</v>
      </c>
      <c r="G108" s="47" t="s">
        <v>1283</v>
      </c>
      <c r="H108" s="48">
        <v>1988</v>
      </c>
      <c r="I108" s="49">
        <v>44256</v>
      </c>
      <c r="J108" s="49" t="s">
        <v>70</v>
      </c>
      <c r="K108" s="48">
        <v>1988</v>
      </c>
      <c r="L108" s="49" t="s">
        <v>71</v>
      </c>
      <c r="M108" s="27">
        <v>44285</v>
      </c>
      <c r="N108" s="27">
        <f t="shared" si="2"/>
        <v>46111</v>
      </c>
      <c r="O108" s="27" t="str">
        <f>VLOOKUP(D108,'[1]PZ a UTZ'!$C$341:$H$464,5,FALSE)</f>
        <v>PZ 10167/96-E.49</v>
      </c>
      <c r="P108" s="27">
        <f>VLOOKUP(D108,'[1]PZ a UTZ'!$C$341:$H$464,6,FALSE)</f>
        <v>44356</v>
      </c>
      <c r="Q108" s="27">
        <f t="shared" si="4"/>
        <v>46182</v>
      </c>
      <c r="R108" s="242" t="s">
        <v>1497</v>
      </c>
      <c r="S108" s="258">
        <v>724862430</v>
      </c>
      <c r="T108" s="274" t="s">
        <v>942</v>
      </c>
    </row>
    <row r="109" spans="2:20" x14ac:dyDescent="0.25">
      <c r="B109" s="10">
        <v>108</v>
      </c>
      <c r="C109" s="100" t="s">
        <v>1289</v>
      </c>
      <c r="D109" s="101" t="s">
        <v>69</v>
      </c>
      <c r="E109" s="102" t="s">
        <v>63</v>
      </c>
      <c r="F109" s="103">
        <v>134.95699999999999</v>
      </c>
      <c r="G109" s="104" t="s">
        <v>1325</v>
      </c>
      <c r="H109" s="105">
        <v>1988</v>
      </c>
      <c r="I109" s="106">
        <v>44256</v>
      </c>
      <c r="J109" s="106" t="s">
        <v>1326</v>
      </c>
      <c r="K109" s="105" t="s">
        <v>1327</v>
      </c>
      <c r="L109" s="106" t="s">
        <v>1328</v>
      </c>
      <c r="M109" s="108">
        <v>44285</v>
      </c>
      <c r="N109" s="108">
        <f t="shared" si="2"/>
        <v>46111</v>
      </c>
      <c r="O109" s="209"/>
      <c r="P109" s="209"/>
      <c r="Q109" s="209"/>
      <c r="R109" s="246" t="s">
        <v>1497</v>
      </c>
      <c r="S109" s="262">
        <v>724862430</v>
      </c>
      <c r="T109" s="283" t="s">
        <v>942</v>
      </c>
    </row>
    <row r="110" spans="2:20" x14ac:dyDescent="0.25">
      <c r="B110" s="10">
        <v>109</v>
      </c>
      <c r="C110" s="21" t="s">
        <v>190</v>
      </c>
      <c r="D110" s="22" t="s">
        <v>271</v>
      </c>
      <c r="E110" s="141" t="s">
        <v>157</v>
      </c>
      <c r="F110" s="142">
        <v>8.9169999999999998</v>
      </c>
      <c r="G110" s="24" t="s">
        <v>272</v>
      </c>
      <c r="H110" s="25">
        <v>2006</v>
      </c>
      <c r="I110" s="26">
        <v>44287</v>
      </c>
      <c r="J110" s="26" t="s">
        <v>273</v>
      </c>
      <c r="K110" s="86" t="s">
        <v>274</v>
      </c>
      <c r="L110" s="26" t="s">
        <v>275</v>
      </c>
      <c r="M110" s="27">
        <v>44299</v>
      </c>
      <c r="N110" s="27">
        <f t="shared" si="2"/>
        <v>46125</v>
      </c>
      <c r="O110" s="27" t="s">
        <v>1533</v>
      </c>
      <c r="P110" s="27">
        <v>44260</v>
      </c>
      <c r="Q110" s="27">
        <f>EDATE(P110,60)</f>
        <v>46086</v>
      </c>
      <c r="R110" s="242" t="s">
        <v>1534</v>
      </c>
      <c r="S110" s="258">
        <v>725138711</v>
      </c>
      <c r="T110" s="268" t="s">
        <v>1030</v>
      </c>
    </row>
    <row r="111" spans="2:20" x14ac:dyDescent="0.25">
      <c r="B111" s="10">
        <v>110</v>
      </c>
      <c r="C111" s="21" t="s">
        <v>190</v>
      </c>
      <c r="D111" s="22" t="s">
        <v>276</v>
      </c>
      <c r="E111" s="141" t="s">
        <v>157</v>
      </c>
      <c r="F111" s="143">
        <v>9.6920000000000002</v>
      </c>
      <c r="G111" s="24" t="s">
        <v>277</v>
      </c>
      <c r="H111" s="25">
        <v>2006</v>
      </c>
      <c r="I111" s="26">
        <v>44287</v>
      </c>
      <c r="J111" s="26" t="s">
        <v>273</v>
      </c>
      <c r="K111" s="86" t="s">
        <v>278</v>
      </c>
      <c r="L111" s="26" t="s">
        <v>279</v>
      </c>
      <c r="M111" s="27">
        <v>44299</v>
      </c>
      <c r="N111" s="27">
        <f t="shared" si="2"/>
        <v>46125</v>
      </c>
      <c r="O111" s="27" t="s">
        <v>1535</v>
      </c>
      <c r="P111" s="27">
        <v>44260</v>
      </c>
      <c r="Q111" s="27">
        <f>EDATE(P111,60)</f>
        <v>46086</v>
      </c>
      <c r="R111" s="242" t="s">
        <v>1534</v>
      </c>
      <c r="S111" s="258">
        <v>725138711</v>
      </c>
      <c r="T111" s="268" t="s">
        <v>1031</v>
      </c>
    </row>
    <row r="112" spans="2:20" x14ac:dyDescent="0.25">
      <c r="B112" s="10">
        <v>111</v>
      </c>
      <c r="C112" s="45" t="s">
        <v>190</v>
      </c>
      <c r="D112" s="22" t="s">
        <v>122</v>
      </c>
      <c r="E112" s="46" t="s">
        <v>112</v>
      </c>
      <c r="F112" s="47">
        <v>22.777000000000001</v>
      </c>
      <c r="G112" s="47" t="s">
        <v>683</v>
      </c>
      <c r="H112" s="48">
        <v>2011</v>
      </c>
      <c r="I112" s="26">
        <v>44287</v>
      </c>
      <c r="J112" s="26" t="s">
        <v>684</v>
      </c>
      <c r="K112" s="86">
        <v>2011</v>
      </c>
      <c r="L112" s="26" t="s">
        <v>685</v>
      </c>
      <c r="M112" s="27">
        <v>44306</v>
      </c>
      <c r="N112" s="27">
        <f t="shared" si="2"/>
        <v>46132</v>
      </c>
      <c r="O112" s="27" t="str">
        <f>VLOOKUP(F112,'[1]PZ a UTZ'!$E$2:$H$335,3,FALSE)</f>
        <v>PZ 0457/11-E.49</v>
      </c>
      <c r="P112" s="27">
        <f>VLOOKUP(F112,'[1]PZ a UTZ'!$E$2:$H$335,4,FALSE)</f>
        <v>44298</v>
      </c>
      <c r="Q112" s="27">
        <f>EDATE(P112,60)</f>
        <v>46124</v>
      </c>
      <c r="R112" s="242" t="s">
        <v>1498</v>
      </c>
      <c r="S112" s="258">
        <v>725339124</v>
      </c>
      <c r="T112" s="274" t="s">
        <v>1183</v>
      </c>
    </row>
    <row r="113" spans="2:20" x14ac:dyDescent="0.25">
      <c r="B113" s="10">
        <v>112</v>
      </c>
      <c r="C113" s="115" t="s">
        <v>14</v>
      </c>
      <c r="D113" s="22" t="s">
        <v>111</v>
      </c>
      <c r="E113" s="46" t="s">
        <v>112</v>
      </c>
      <c r="F113" s="54" t="s">
        <v>1329</v>
      </c>
      <c r="G113" s="47"/>
      <c r="H113" s="48">
        <v>1972</v>
      </c>
      <c r="I113" s="26">
        <v>44287</v>
      </c>
      <c r="J113" s="26" t="s">
        <v>113</v>
      </c>
      <c r="K113" s="144" t="s">
        <v>114</v>
      </c>
      <c r="L113" s="26" t="s">
        <v>115</v>
      </c>
      <c r="M113" s="27">
        <v>44313</v>
      </c>
      <c r="N113" s="27">
        <f t="shared" si="2"/>
        <v>46139</v>
      </c>
      <c r="O113" s="27" t="str">
        <f>VLOOKUP(D113,'[1]PZ a UTZ'!$C$341:$H$464,5,FALSE)</f>
        <v>PZ 12092/96-E.49</v>
      </c>
      <c r="P113" s="27">
        <f>VLOOKUP(D113,'[1]PZ a UTZ'!$C$341:$H$464,6,FALSE)</f>
        <v>44364</v>
      </c>
      <c r="Q113" s="27">
        <f>EDATE(P113,60)</f>
        <v>46190</v>
      </c>
      <c r="R113" s="242" t="s">
        <v>1487</v>
      </c>
      <c r="S113" s="258">
        <v>725339123</v>
      </c>
      <c r="T113" s="274" t="s">
        <v>961</v>
      </c>
    </row>
    <row r="114" spans="2:20" x14ac:dyDescent="0.25">
      <c r="B114" s="10">
        <v>113</v>
      </c>
      <c r="C114" s="100" t="s">
        <v>1289</v>
      </c>
      <c r="D114" s="101" t="s">
        <v>111</v>
      </c>
      <c r="E114" s="102" t="s">
        <v>112</v>
      </c>
      <c r="F114" s="103" t="s">
        <v>1329</v>
      </c>
      <c r="G114" s="104"/>
      <c r="H114" s="105">
        <v>1972</v>
      </c>
      <c r="I114" s="135">
        <v>44287</v>
      </c>
      <c r="J114" s="135" t="s">
        <v>42</v>
      </c>
      <c r="K114" s="145">
        <v>2013</v>
      </c>
      <c r="L114" s="135" t="s">
        <v>1330</v>
      </c>
      <c r="M114" s="108">
        <v>44313</v>
      </c>
      <c r="N114" s="108">
        <f t="shared" si="2"/>
        <v>46139</v>
      </c>
      <c r="O114" s="209"/>
      <c r="P114" s="209"/>
      <c r="Q114" s="209"/>
      <c r="R114" s="246" t="s">
        <v>1487</v>
      </c>
      <c r="S114" s="262">
        <v>725339123</v>
      </c>
      <c r="T114" s="283" t="s">
        <v>961</v>
      </c>
    </row>
    <row r="115" spans="2:20" x14ac:dyDescent="0.25">
      <c r="B115" s="10">
        <v>114</v>
      </c>
      <c r="C115" s="53" t="s">
        <v>14</v>
      </c>
      <c r="D115" s="22" t="s">
        <v>56</v>
      </c>
      <c r="E115" s="46" t="s">
        <v>53</v>
      </c>
      <c r="F115" s="54">
        <v>77.873000000000005</v>
      </c>
      <c r="G115" s="47"/>
      <c r="H115" s="48">
        <v>2011</v>
      </c>
      <c r="I115" s="138">
        <v>44317</v>
      </c>
      <c r="J115" s="49" t="s">
        <v>17</v>
      </c>
      <c r="K115" s="48">
        <v>2011</v>
      </c>
      <c r="L115" s="138" t="s">
        <v>57</v>
      </c>
      <c r="M115" s="27">
        <v>44329</v>
      </c>
      <c r="N115" s="27">
        <f t="shared" si="2"/>
        <v>46155</v>
      </c>
      <c r="O115" s="27" t="str">
        <f>VLOOKUP(D115,'[1]PZ a UTZ'!$C$341:$H$464,5,FALSE)</f>
        <v>PZ 0707/13-E.49</v>
      </c>
      <c r="P115" s="27">
        <f>VLOOKUP(D115,'[1]PZ a UTZ'!$C$341:$H$464,6,FALSE)</f>
        <v>44398</v>
      </c>
      <c r="Q115" s="27">
        <f>EDATE(P115,60)</f>
        <v>46224</v>
      </c>
      <c r="R115" s="242" t="s">
        <v>1536</v>
      </c>
      <c r="S115" s="258">
        <v>702062263</v>
      </c>
      <c r="T115" s="274" t="s">
        <v>936</v>
      </c>
    </row>
    <row r="116" spans="2:20" x14ac:dyDescent="0.25">
      <c r="B116" s="10">
        <v>115</v>
      </c>
      <c r="C116" s="53" t="s">
        <v>14</v>
      </c>
      <c r="D116" s="22" t="s">
        <v>32</v>
      </c>
      <c r="E116" s="46" t="s">
        <v>25</v>
      </c>
      <c r="F116" s="54">
        <v>32.499000000000002</v>
      </c>
      <c r="G116" s="47"/>
      <c r="H116" s="48">
        <v>2006</v>
      </c>
      <c r="I116" s="49">
        <v>44317</v>
      </c>
      <c r="J116" s="49" t="s">
        <v>17</v>
      </c>
      <c r="K116" s="56">
        <v>2006</v>
      </c>
      <c r="L116" s="49" t="s">
        <v>33</v>
      </c>
      <c r="M116" s="27">
        <v>44334</v>
      </c>
      <c r="N116" s="27">
        <f t="shared" si="2"/>
        <v>46160</v>
      </c>
      <c r="O116" s="27" t="str">
        <f>VLOOKUP(D116,'[1]PZ a UTZ'!$C$341:$H$464,5,FALSE)</f>
        <v>PZ 0594/06-E.49</v>
      </c>
      <c r="P116" s="27">
        <f>VLOOKUP(D116,'[1]PZ a UTZ'!$C$341:$H$464,6,FALSE)</f>
        <v>44415</v>
      </c>
      <c r="Q116" s="27">
        <f>EDATE(P116,60)</f>
        <v>46241</v>
      </c>
      <c r="R116" s="242" t="s">
        <v>1494</v>
      </c>
      <c r="S116" s="258">
        <v>602117762</v>
      </c>
      <c r="T116" s="274" t="s">
        <v>931</v>
      </c>
    </row>
    <row r="117" spans="2:20" x14ac:dyDescent="0.25">
      <c r="B117" s="10">
        <v>116</v>
      </c>
      <c r="C117" s="133" t="s">
        <v>1289</v>
      </c>
      <c r="D117" s="101" t="s">
        <v>32</v>
      </c>
      <c r="E117" s="102" t="s">
        <v>25</v>
      </c>
      <c r="F117" s="103">
        <v>32.499000000000002</v>
      </c>
      <c r="G117" s="104"/>
      <c r="H117" s="105">
        <v>2006</v>
      </c>
      <c r="I117" s="106">
        <v>44317</v>
      </c>
      <c r="J117" s="135" t="s">
        <v>657</v>
      </c>
      <c r="K117" s="107">
        <v>2006</v>
      </c>
      <c r="L117" s="106" t="s">
        <v>1331</v>
      </c>
      <c r="M117" s="108">
        <v>44334</v>
      </c>
      <c r="N117" s="108">
        <f t="shared" si="2"/>
        <v>46160</v>
      </c>
      <c r="O117" s="249"/>
      <c r="P117" s="249"/>
      <c r="Q117" s="249"/>
      <c r="R117" s="246" t="s">
        <v>1494</v>
      </c>
      <c r="S117" s="262">
        <v>602117762</v>
      </c>
      <c r="T117" s="283" t="s">
        <v>931</v>
      </c>
    </row>
    <row r="118" spans="2:20" x14ac:dyDescent="0.25">
      <c r="B118" s="10">
        <v>117</v>
      </c>
      <c r="C118" s="45" t="s">
        <v>190</v>
      </c>
      <c r="D118" s="22" t="s">
        <v>423</v>
      </c>
      <c r="E118" s="46" t="s">
        <v>63</v>
      </c>
      <c r="F118" s="146">
        <v>120.593</v>
      </c>
      <c r="G118" s="47" t="s">
        <v>1332</v>
      </c>
      <c r="H118" s="95">
        <v>1984</v>
      </c>
      <c r="I118" s="26">
        <v>44317</v>
      </c>
      <c r="J118" s="49" t="s">
        <v>46</v>
      </c>
      <c r="K118" s="86">
        <v>2004</v>
      </c>
      <c r="L118" s="26" t="s">
        <v>424</v>
      </c>
      <c r="M118" s="27">
        <v>44342</v>
      </c>
      <c r="N118" s="27">
        <f t="shared" si="2"/>
        <v>46168</v>
      </c>
      <c r="O118" s="27" t="s">
        <v>1537</v>
      </c>
      <c r="P118" s="27">
        <v>44342</v>
      </c>
      <c r="Q118" s="27">
        <f t="shared" ref="Q118:Q132" si="5">EDATE(P118,60)</f>
        <v>46168</v>
      </c>
      <c r="R118" s="242" t="s">
        <v>1532</v>
      </c>
      <c r="S118" s="258">
        <v>725339118</v>
      </c>
      <c r="T118" s="274" t="s">
        <v>1089</v>
      </c>
    </row>
    <row r="119" spans="2:20" x14ac:dyDescent="0.25">
      <c r="B119" s="10">
        <v>118</v>
      </c>
      <c r="C119" s="45" t="s">
        <v>190</v>
      </c>
      <c r="D119" s="22" t="s">
        <v>127</v>
      </c>
      <c r="E119" s="46" t="s">
        <v>112</v>
      </c>
      <c r="F119" s="47">
        <v>31.283999999999999</v>
      </c>
      <c r="G119" s="47" t="s">
        <v>692</v>
      </c>
      <c r="H119" s="95">
        <v>1976</v>
      </c>
      <c r="I119" s="26">
        <v>44317</v>
      </c>
      <c r="J119" s="49" t="s">
        <v>46</v>
      </c>
      <c r="K119" s="56">
        <v>2006</v>
      </c>
      <c r="L119" s="26" t="s">
        <v>693</v>
      </c>
      <c r="M119" s="27">
        <v>44343</v>
      </c>
      <c r="N119" s="27">
        <f t="shared" si="2"/>
        <v>46169</v>
      </c>
      <c r="O119" s="27" t="str">
        <f>VLOOKUP(F119,'[1]PZ a UTZ'!$E$2:$H$335,3,FALSE)</f>
        <v>PZ 10309/96-E.49</v>
      </c>
      <c r="P119" s="27">
        <f>VLOOKUP(F119,'[1]PZ a UTZ'!$E$2:$H$335,4,FALSE)</f>
        <v>44378</v>
      </c>
      <c r="Q119" s="27">
        <f t="shared" si="5"/>
        <v>46204</v>
      </c>
      <c r="R119" s="242" t="s">
        <v>1487</v>
      </c>
      <c r="S119" s="258">
        <v>725339123</v>
      </c>
      <c r="T119" s="274" t="s">
        <v>1189</v>
      </c>
    </row>
    <row r="120" spans="2:20" x14ac:dyDescent="0.25">
      <c r="B120" s="10">
        <v>119</v>
      </c>
      <c r="C120" s="45" t="s">
        <v>190</v>
      </c>
      <c r="D120" s="22" t="s">
        <v>127</v>
      </c>
      <c r="E120" s="46" t="s">
        <v>112</v>
      </c>
      <c r="F120" s="47">
        <v>32.713000000000001</v>
      </c>
      <c r="G120" s="47" t="s">
        <v>694</v>
      </c>
      <c r="H120" s="95">
        <v>1976</v>
      </c>
      <c r="I120" s="26">
        <v>44317</v>
      </c>
      <c r="J120" s="49" t="s">
        <v>46</v>
      </c>
      <c r="K120" s="56">
        <v>2006</v>
      </c>
      <c r="L120" s="26" t="s">
        <v>695</v>
      </c>
      <c r="M120" s="27">
        <v>44343</v>
      </c>
      <c r="N120" s="27">
        <f t="shared" si="2"/>
        <v>46169</v>
      </c>
      <c r="O120" s="27" t="str">
        <f>VLOOKUP(F120,'[1]PZ a UTZ'!$E$2:$H$335,3,FALSE)</f>
        <v>PZ 10310/96-E.49</v>
      </c>
      <c r="P120" s="27">
        <f>VLOOKUP(F120,'[1]PZ a UTZ'!$E$2:$H$335,4,FALSE)</f>
        <v>44378</v>
      </c>
      <c r="Q120" s="27">
        <f t="shared" si="5"/>
        <v>46204</v>
      </c>
      <c r="R120" s="242" t="s">
        <v>1487</v>
      </c>
      <c r="S120" s="258">
        <v>725339123</v>
      </c>
      <c r="T120" s="274" t="s">
        <v>1190</v>
      </c>
    </row>
    <row r="121" spans="2:20" x14ac:dyDescent="0.25">
      <c r="B121" s="10">
        <v>120</v>
      </c>
      <c r="C121" s="45" t="s">
        <v>190</v>
      </c>
      <c r="D121" s="22" t="s">
        <v>127</v>
      </c>
      <c r="E121" s="46" t="s">
        <v>112</v>
      </c>
      <c r="F121" s="47">
        <v>33.854999999999997</v>
      </c>
      <c r="G121" s="47" t="s">
        <v>696</v>
      </c>
      <c r="H121" s="95">
        <v>1976</v>
      </c>
      <c r="I121" s="26">
        <v>44317</v>
      </c>
      <c r="J121" s="49" t="s">
        <v>46</v>
      </c>
      <c r="K121" s="56">
        <v>2006</v>
      </c>
      <c r="L121" s="26" t="s">
        <v>697</v>
      </c>
      <c r="M121" s="27">
        <v>44343</v>
      </c>
      <c r="N121" s="27">
        <f t="shared" si="2"/>
        <v>46169</v>
      </c>
      <c r="O121" s="27" t="str">
        <f>VLOOKUP(F121,'[1]PZ a UTZ'!$E$2:$H$335,3,FALSE)</f>
        <v>PZ 10311/96-E.49</v>
      </c>
      <c r="P121" s="27">
        <f>VLOOKUP(F121,'[1]PZ a UTZ'!$E$2:$H$335,4,FALSE)</f>
        <v>44406</v>
      </c>
      <c r="Q121" s="27">
        <f t="shared" si="5"/>
        <v>46232</v>
      </c>
      <c r="R121" s="242" t="s">
        <v>1487</v>
      </c>
      <c r="S121" s="258">
        <v>725339123</v>
      </c>
      <c r="T121" s="274" t="s">
        <v>1191</v>
      </c>
    </row>
    <row r="122" spans="2:20" x14ac:dyDescent="0.25">
      <c r="B122" s="10">
        <v>121</v>
      </c>
      <c r="C122" s="45" t="s">
        <v>190</v>
      </c>
      <c r="D122" s="22" t="s">
        <v>69</v>
      </c>
      <c r="E122" s="46" t="s">
        <v>63</v>
      </c>
      <c r="F122" s="47">
        <v>134.661</v>
      </c>
      <c r="G122" s="47" t="s">
        <v>441</v>
      </c>
      <c r="H122" s="95">
        <v>1988</v>
      </c>
      <c r="I122" s="49">
        <v>44348</v>
      </c>
      <c r="J122" s="44" t="s">
        <v>124</v>
      </c>
      <c r="K122" s="36">
        <v>2019</v>
      </c>
      <c r="L122" s="49" t="s">
        <v>442</v>
      </c>
      <c r="M122" s="27">
        <v>44356</v>
      </c>
      <c r="N122" s="27">
        <f t="shared" si="2"/>
        <v>46182</v>
      </c>
      <c r="O122" s="27" t="s">
        <v>1538</v>
      </c>
      <c r="P122" s="27">
        <v>44356</v>
      </c>
      <c r="Q122" s="27">
        <f t="shared" si="5"/>
        <v>46182</v>
      </c>
      <c r="R122" s="242" t="s">
        <v>1497</v>
      </c>
      <c r="S122" s="258">
        <v>724862430</v>
      </c>
      <c r="T122" s="274" t="s">
        <v>1096</v>
      </c>
    </row>
    <row r="123" spans="2:20" x14ac:dyDescent="0.25">
      <c r="B123" s="10">
        <v>122</v>
      </c>
      <c r="C123" s="45" t="s">
        <v>190</v>
      </c>
      <c r="D123" s="22" t="s">
        <v>69</v>
      </c>
      <c r="E123" s="46" t="s">
        <v>63</v>
      </c>
      <c r="F123" s="47">
        <v>135.95699999999999</v>
      </c>
      <c r="G123" s="47" t="s">
        <v>443</v>
      </c>
      <c r="H123" s="48">
        <v>1986</v>
      </c>
      <c r="I123" s="49">
        <v>44348</v>
      </c>
      <c r="J123" s="26" t="s">
        <v>49</v>
      </c>
      <c r="K123" s="56">
        <v>2017</v>
      </c>
      <c r="L123" s="49" t="s">
        <v>444</v>
      </c>
      <c r="M123" s="27">
        <v>44356</v>
      </c>
      <c r="N123" s="27">
        <f t="shared" si="2"/>
        <v>46182</v>
      </c>
      <c r="O123" s="27" t="s">
        <v>1539</v>
      </c>
      <c r="P123" s="27">
        <v>44356</v>
      </c>
      <c r="Q123" s="27">
        <f t="shared" si="5"/>
        <v>46182</v>
      </c>
      <c r="R123" s="242" t="s">
        <v>1532</v>
      </c>
      <c r="S123" s="258">
        <v>725339118</v>
      </c>
      <c r="T123" s="274" t="s">
        <v>1097</v>
      </c>
    </row>
    <row r="124" spans="2:20" x14ac:dyDescent="0.25">
      <c r="B124" s="10">
        <v>123</v>
      </c>
      <c r="C124" s="45" t="s">
        <v>190</v>
      </c>
      <c r="D124" s="22" t="s">
        <v>69</v>
      </c>
      <c r="E124" s="46" t="s">
        <v>63</v>
      </c>
      <c r="F124" s="47">
        <v>136.464</v>
      </c>
      <c r="G124" s="47" t="s">
        <v>445</v>
      </c>
      <c r="H124" s="48">
        <v>1986</v>
      </c>
      <c r="I124" s="49">
        <v>44348</v>
      </c>
      <c r="J124" s="49" t="s">
        <v>77</v>
      </c>
      <c r="K124" s="56">
        <v>2016</v>
      </c>
      <c r="L124" s="49" t="s">
        <v>446</v>
      </c>
      <c r="M124" s="27">
        <v>44356</v>
      </c>
      <c r="N124" s="27">
        <f t="shared" si="2"/>
        <v>46182</v>
      </c>
      <c r="O124" s="27" t="s">
        <v>1540</v>
      </c>
      <c r="P124" s="27">
        <v>44356</v>
      </c>
      <c r="Q124" s="27">
        <f t="shared" si="5"/>
        <v>46182</v>
      </c>
      <c r="R124" s="242" t="s">
        <v>1532</v>
      </c>
      <c r="S124" s="258">
        <v>725339118</v>
      </c>
      <c r="T124" s="274" t="s">
        <v>1098</v>
      </c>
    </row>
    <row r="125" spans="2:20" x14ac:dyDescent="0.25">
      <c r="B125" s="10">
        <v>124</v>
      </c>
      <c r="C125" s="45" t="s">
        <v>190</v>
      </c>
      <c r="D125" s="22" t="s">
        <v>447</v>
      </c>
      <c r="E125" s="46" t="s">
        <v>63</v>
      </c>
      <c r="F125" s="47">
        <v>137.47300000000001</v>
      </c>
      <c r="G125" s="47" t="s">
        <v>448</v>
      </c>
      <c r="H125" s="48">
        <v>1986</v>
      </c>
      <c r="I125" s="49">
        <v>44348</v>
      </c>
      <c r="J125" s="26" t="s">
        <v>49</v>
      </c>
      <c r="K125" s="56">
        <v>2017</v>
      </c>
      <c r="L125" s="49" t="s">
        <v>449</v>
      </c>
      <c r="M125" s="27">
        <v>44356</v>
      </c>
      <c r="N125" s="27">
        <f t="shared" si="2"/>
        <v>46182</v>
      </c>
      <c r="O125" s="27" t="s">
        <v>1541</v>
      </c>
      <c r="P125" s="27">
        <v>44356</v>
      </c>
      <c r="Q125" s="27">
        <f t="shared" si="5"/>
        <v>46182</v>
      </c>
      <c r="R125" s="242" t="s">
        <v>1532</v>
      </c>
      <c r="S125" s="258">
        <v>725339118</v>
      </c>
      <c r="T125" s="274" t="s">
        <v>1099</v>
      </c>
    </row>
    <row r="126" spans="2:20" x14ac:dyDescent="0.25">
      <c r="B126" s="10">
        <v>125</v>
      </c>
      <c r="C126" s="68" t="s">
        <v>164</v>
      </c>
      <c r="D126" s="22" t="s">
        <v>1333</v>
      </c>
      <c r="E126" s="46" t="s">
        <v>53</v>
      </c>
      <c r="F126" s="69">
        <v>77.873000000000005</v>
      </c>
      <c r="G126" s="24" t="s">
        <v>1334</v>
      </c>
      <c r="H126" s="48">
        <v>2011</v>
      </c>
      <c r="I126" s="49">
        <v>44348</v>
      </c>
      <c r="J126" s="49" t="s">
        <v>17</v>
      </c>
      <c r="K126" s="25">
        <v>2011</v>
      </c>
      <c r="L126" s="49" t="s">
        <v>168</v>
      </c>
      <c r="M126" s="27">
        <v>44357</v>
      </c>
      <c r="N126" s="27">
        <f t="shared" si="2"/>
        <v>46183</v>
      </c>
      <c r="O126" s="27" t="e">
        <f>VLOOKUP(D126,'[1]PZ a UTZ'!B474:G567,5,FALSE)</f>
        <v>#N/A</v>
      </c>
      <c r="P126" s="27" t="e">
        <f>VLOOKUP(D126,'[1]PZ a UTZ'!B474:G567,6,FALSE)</f>
        <v>#N/A</v>
      </c>
      <c r="Q126" s="27" t="e">
        <f t="shared" si="5"/>
        <v>#N/A</v>
      </c>
      <c r="R126" s="242" t="s">
        <v>1542</v>
      </c>
      <c r="S126" s="258">
        <v>702062264</v>
      </c>
      <c r="T126" s="276" t="s">
        <v>1652</v>
      </c>
    </row>
    <row r="127" spans="2:20" x14ac:dyDescent="0.25">
      <c r="B127" s="10">
        <v>126</v>
      </c>
      <c r="C127" s="68" t="s">
        <v>164</v>
      </c>
      <c r="D127" s="22" t="s">
        <v>1335</v>
      </c>
      <c r="E127" s="46" t="s">
        <v>53</v>
      </c>
      <c r="F127" s="69">
        <v>0.34799999999999998</v>
      </c>
      <c r="G127" s="24" t="s">
        <v>1334</v>
      </c>
      <c r="H127" s="48">
        <v>2011</v>
      </c>
      <c r="I127" s="49">
        <v>44348</v>
      </c>
      <c r="J127" s="49" t="s">
        <v>17</v>
      </c>
      <c r="K127" s="25">
        <v>2011</v>
      </c>
      <c r="L127" s="49" t="s">
        <v>167</v>
      </c>
      <c r="M127" s="27">
        <v>44357</v>
      </c>
      <c r="N127" s="27">
        <f t="shared" si="2"/>
        <v>46183</v>
      </c>
      <c r="O127" s="27" t="e">
        <f>VLOOKUP(D127,'[1]PZ a UTZ'!B473:G566,5,FALSE)</f>
        <v>#N/A</v>
      </c>
      <c r="P127" s="27" t="e">
        <f>VLOOKUP(D127,'[1]PZ a UTZ'!B473:G566,6,FALSE)</f>
        <v>#N/A</v>
      </c>
      <c r="Q127" s="27" t="e">
        <f t="shared" si="5"/>
        <v>#N/A</v>
      </c>
      <c r="R127" s="242" t="s">
        <v>1543</v>
      </c>
      <c r="S127" s="258">
        <v>724862434</v>
      </c>
      <c r="T127" s="276" t="s">
        <v>984</v>
      </c>
    </row>
    <row r="128" spans="2:20" x14ac:dyDescent="0.25">
      <c r="B128" s="10">
        <v>127</v>
      </c>
      <c r="C128" s="45" t="s">
        <v>190</v>
      </c>
      <c r="D128" s="22" t="s">
        <v>757</v>
      </c>
      <c r="E128" s="51" t="s">
        <v>92</v>
      </c>
      <c r="F128" s="47">
        <v>30.338999999999999</v>
      </c>
      <c r="G128" s="47" t="s">
        <v>758</v>
      </c>
      <c r="H128" s="48">
        <v>1983</v>
      </c>
      <c r="I128" s="79">
        <v>44348</v>
      </c>
      <c r="J128" s="147" t="s">
        <v>42</v>
      </c>
      <c r="K128" s="148">
        <v>1987</v>
      </c>
      <c r="L128" s="79" t="s">
        <v>759</v>
      </c>
      <c r="M128" s="27">
        <v>44362</v>
      </c>
      <c r="N128" s="27">
        <f t="shared" si="2"/>
        <v>46188</v>
      </c>
      <c r="O128" s="27" t="str">
        <f>VLOOKUP(F128,'[1]PZ a UTZ'!$E$2:$H$335,3,FALSE)</f>
        <v>PZ 12059/96-E.49</v>
      </c>
      <c r="P128" s="27">
        <f>VLOOKUP(F128,'[1]PZ a UTZ'!$E$2:$H$335,4,FALSE)</f>
        <v>44362</v>
      </c>
      <c r="Q128" s="27">
        <f t="shared" si="5"/>
        <v>46188</v>
      </c>
      <c r="R128" s="242" t="s">
        <v>1505</v>
      </c>
      <c r="S128" s="258">
        <v>724644317</v>
      </c>
      <c r="T128" s="274" t="s">
        <v>1223</v>
      </c>
    </row>
    <row r="129" spans="2:20" x14ac:dyDescent="0.25">
      <c r="B129" s="10">
        <v>128</v>
      </c>
      <c r="C129" s="45" t="s">
        <v>190</v>
      </c>
      <c r="D129" s="22" t="s">
        <v>487</v>
      </c>
      <c r="E129" s="46" t="s">
        <v>63</v>
      </c>
      <c r="F129" s="47">
        <v>166.435</v>
      </c>
      <c r="G129" s="47" t="s">
        <v>488</v>
      </c>
      <c r="H129" s="48">
        <v>1983</v>
      </c>
      <c r="I129" s="49">
        <v>44348</v>
      </c>
      <c r="J129" s="149" t="s">
        <v>16</v>
      </c>
      <c r="K129" s="150"/>
      <c r="L129" s="49" t="s">
        <v>489</v>
      </c>
      <c r="M129" s="27">
        <v>44362</v>
      </c>
      <c r="N129" s="27">
        <f t="shared" si="2"/>
        <v>46188</v>
      </c>
      <c r="O129" s="27" t="s">
        <v>1544</v>
      </c>
      <c r="P129" s="27">
        <v>44362</v>
      </c>
      <c r="Q129" s="27">
        <f t="shared" si="5"/>
        <v>46188</v>
      </c>
      <c r="R129" s="242" t="s">
        <v>1488</v>
      </c>
      <c r="S129" s="258">
        <v>724214681</v>
      </c>
      <c r="T129" s="274" t="s">
        <v>1116</v>
      </c>
    </row>
    <row r="130" spans="2:20" x14ac:dyDescent="0.25">
      <c r="B130" s="10">
        <v>129</v>
      </c>
      <c r="C130" s="45" t="s">
        <v>190</v>
      </c>
      <c r="D130" s="22" t="s">
        <v>493</v>
      </c>
      <c r="E130" s="46" t="s">
        <v>63</v>
      </c>
      <c r="F130" s="47">
        <v>168.87100000000001</v>
      </c>
      <c r="G130" s="47" t="s">
        <v>494</v>
      </c>
      <c r="H130" s="95">
        <v>1983</v>
      </c>
      <c r="I130" s="49">
        <v>44348</v>
      </c>
      <c r="J130" s="49" t="s">
        <v>46</v>
      </c>
      <c r="K130" s="56">
        <v>2008</v>
      </c>
      <c r="L130" s="49" t="s">
        <v>495</v>
      </c>
      <c r="M130" s="27">
        <v>44362</v>
      </c>
      <c r="N130" s="27">
        <f t="shared" si="2"/>
        <v>46188</v>
      </c>
      <c r="O130" s="27" t="s">
        <v>1545</v>
      </c>
      <c r="P130" s="27">
        <v>44362</v>
      </c>
      <c r="Q130" s="27">
        <f t="shared" si="5"/>
        <v>46188</v>
      </c>
      <c r="R130" s="242" t="s">
        <v>1505</v>
      </c>
      <c r="S130" s="258">
        <v>724644317</v>
      </c>
      <c r="T130" s="274" t="s">
        <v>1118</v>
      </c>
    </row>
    <row r="131" spans="2:20" x14ac:dyDescent="0.25">
      <c r="B131" s="10">
        <v>130</v>
      </c>
      <c r="C131" s="81" t="s">
        <v>190</v>
      </c>
      <c r="D131" s="22" t="s">
        <v>354</v>
      </c>
      <c r="E131" s="46" t="s">
        <v>53</v>
      </c>
      <c r="F131" s="24">
        <v>71.716999999999999</v>
      </c>
      <c r="G131" s="24" t="s">
        <v>355</v>
      </c>
      <c r="H131" s="25">
        <v>2011</v>
      </c>
      <c r="I131" s="26">
        <v>44348</v>
      </c>
      <c r="J131" s="49" t="s">
        <v>17</v>
      </c>
      <c r="K131" s="25">
        <v>2011</v>
      </c>
      <c r="L131" s="26" t="s">
        <v>356</v>
      </c>
      <c r="M131" s="27">
        <v>44369</v>
      </c>
      <c r="N131" s="27">
        <f t="shared" ref="N131:N194" si="6">EDATE(M131,60)</f>
        <v>46195</v>
      </c>
      <c r="O131" s="27" t="str">
        <f>VLOOKUP(F131,'[1]PZ a UTZ'!$E$2:$H$335,3,FALSE)</f>
        <v>PZ 0713/13-E.49</v>
      </c>
      <c r="P131" s="27">
        <f>VLOOKUP(F131,'[1]PZ a UTZ'!$E$2:$H$335,4,FALSE)</f>
        <v>44414</v>
      </c>
      <c r="Q131" s="27">
        <f t="shared" si="5"/>
        <v>46240</v>
      </c>
      <c r="R131" s="242" t="s">
        <v>1542</v>
      </c>
      <c r="S131" s="258">
        <v>702062264</v>
      </c>
      <c r="T131" s="268" t="s">
        <v>1063</v>
      </c>
    </row>
    <row r="132" spans="2:20" x14ac:dyDescent="0.25">
      <c r="B132" s="10">
        <v>131</v>
      </c>
      <c r="C132" s="81" t="s">
        <v>190</v>
      </c>
      <c r="D132" s="22" t="s">
        <v>351</v>
      </c>
      <c r="E132" s="23" t="s">
        <v>53</v>
      </c>
      <c r="F132" s="24">
        <v>77.253</v>
      </c>
      <c r="G132" s="24" t="s">
        <v>352</v>
      </c>
      <c r="H132" s="25">
        <v>2011</v>
      </c>
      <c r="I132" s="26">
        <v>44348</v>
      </c>
      <c r="J132" s="49" t="s">
        <v>17</v>
      </c>
      <c r="K132" s="25">
        <v>2011</v>
      </c>
      <c r="L132" s="26" t="s">
        <v>353</v>
      </c>
      <c r="M132" s="27">
        <v>44369</v>
      </c>
      <c r="N132" s="27">
        <f t="shared" si="6"/>
        <v>46195</v>
      </c>
      <c r="O132" s="27" t="str">
        <f>VLOOKUP(F132,'[1]PZ a UTZ'!$E$2:$H$335,3,FALSE)</f>
        <v>PZ 0712/13-E.49</v>
      </c>
      <c r="P132" s="27">
        <f>VLOOKUP(F132,'[1]PZ a UTZ'!$E$2:$H$335,4,FALSE)</f>
        <v>44414</v>
      </c>
      <c r="Q132" s="27">
        <f t="shared" si="5"/>
        <v>46240</v>
      </c>
      <c r="R132" s="242" t="s">
        <v>1542</v>
      </c>
      <c r="S132" s="258">
        <v>702062264</v>
      </c>
      <c r="T132" s="268" t="s">
        <v>1062</v>
      </c>
    </row>
    <row r="133" spans="2:20" x14ac:dyDescent="0.25">
      <c r="B133" s="10">
        <v>132</v>
      </c>
      <c r="C133" s="57" t="s">
        <v>885</v>
      </c>
      <c r="D133" s="58" t="s">
        <v>56</v>
      </c>
      <c r="E133" s="137" t="s">
        <v>53</v>
      </c>
      <c r="F133" s="60">
        <v>77.873000000000005</v>
      </c>
      <c r="G133" s="61" t="s">
        <v>1276</v>
      </c>
      <c r="H133" s="151">
        <v>2011</v>
      </c>
      <c r="I133" s="66">
        <v>44348</v>
      </c>
      <c r="J133" s="149" t="s">
        <v>16</v>
      </c>
      <c r="K133" s="152"/>
      <c r="L133" s="66" t="s">
        <v>903</v>
      </c>
      <c r="M133" s="67">
        <v>44369</v>
      </c>
      <c r="N133" s="67">
        <f t="shared" si="6"/>
        <v>46195</v>
      </c>
      <c r="O133" s="209"/>
      <c r="P133" s="209"/>
      <c r="Q133" s="209"/>
      <c r="R133" s="245" t="s">
        <v>1542</v>
      </c>
      <c r="S133" s="261">
        <v>702062264</v>
      </c>
      <c r="T133" s="275" t="s">
        <v>936</v>
      </c>
    </row>
    <row r="134" spans="2:20" x14ac:dyDescent="0.25">
      <c r="B134" s="10">
        <v>133</v>
      </c>
      <c r="C134" s="53" t="s">
        <v>14</v>
      </c>
      <c r="D134" s="22" t="s">
        <v>156</v>
      </c>
      <c r="E134" s="141" t="s">
        <v>157</v>
      </c>
      <c r="F134" s="69">
        <v>1.2689999999999999</v>
      </c>
      <c r="G134" s="24"/>
      <c r="H134" s="25">
        <v>2016</v>
      </c>
      <c r="I134" s="26">
        <v>44348</v>
      </c>
      <c r="J134" s="26" t="s">
        <v>158</v>
      </c>
      <c r="K134" s="25">
        <v>2016</v>
      </c>
      <c r="L134" s="26" t="s">
        <v>159</v>
      </c>
      <c r="M134" s="27">
        <v>44371</v>
      </c>
      <c r="N134" s="27">
        <f t="shared" si="6"/>
        <v>46197</v>
      </c>
      <c r="O134" s="192"/>
      <c r="P134" s="192"/>
      <c r="Q134" s="192"/>
      <c r="R134" s="242" t="s">
        <v>1543</v>
      </c>
      <c r="S134" s="258">
        <v>724862434</v>
      </c>
      <c r="T134" s="268" t="s">
        <v>980</v>
      </c>
    </row>
    <row r="135" spans="2:20" x14ac:dyDescent="0.25">
      <c r="B135" s="10">
        <v>134</v>
      </c>
      <c r="C135" s="53" t="s">
        <v>14</v>
      </c>
      <c r="D135" s="22" t="s">
        <v>36</v>
      </c>
      <c r="E135" s="46" t="s">
        <v>25</v>
      </c>
      <c r="F135" s="124">
        <v>147.464</v>
      </c>
      <c r="G135" s="125"/>
      <c r="H135" s="126">
        <v>2005</v>
      </c>
      <c r="I135" s="127">
        <v>44378</v>
      </c>
      <c r="J135" s="49" t="s">
        <v>17</v>
      </c>
      <c r="K135" s="56">
        <v>2005</v>
      </c>
      <c r="L135" s="127" t="s">
        <v>37</v>
      </c>
      <c r="M135" s="27">
        <v>44391</v>
      </c>
      <c r="N135" s="27">
        <f t="shared" si="6"/>
        <v>46217</v>
      </c>
      <c r="O135" s="27" t="str">
        <f>VLOOKUP(D135,'[1]PZ a UTZ'!$C$341:$H$464,5,FALSE)</f>
        <v>PZ 0595/06-E.49</v>
      </c>
      <c r="P135" s="27">
        <f>VLOOKUP(D135,'[1]PZ a UTZ'!$C$341:$H$464,6,FALSE)</f>
        <v>44420</v>
      </c>
      <c r="Q135" s="27">
        <f>EDATE(P135,60)</f>
        <v>46246</v>
      </c>
      <c r="R135" s="242" t="s">
        <v>1493</v>
      </c>
      <c r="S135" s="258">
        <v>602668264</v>
      </c>
      <c r="T135" s="291" t="s">
        <v>933</v>
      </c>
    </row>
    <row r="136" spans="2:20" x14ac:dyDescent="0.25">
      <c r="B136" s="10">
        <v>135</v>
      </c>
      <c r="C136" s="100" t="s">
        <v>1289</v>
      </c>
      <c r="D136" s="101" t="s">
        <v>36</v>
      </c>
      <c r="E136" s="102" t="s">
        <v>25</v>
      </c>
      <c r="F136" s="121">
        <v>147.464</v>
      </c>
      <c r="G136" s="122"/>
      <c r="H136" s="134">
        <v>2005</v>
      </c>
      <c r="I136" s="153">
        <v>44378</v>
      </c>
      <c r="J136" s="135" t="s">
        <v>657</v>
      </c>
      <c r="K136" s="107">
        <v>2005</v>
      </c>
      <c r="L136" s="153" t="s">
        <v>1336</v>
      </c>
      <c r="M136" s="108">
        <v>44391</v>
      </c>
      <c r="N136" s="108">
        <f t="shared" si="6"/>
        <v>46217</v>
      </c>
      <c r="O136" s="249"/>
      <c r="P136" s="249"/>
      <c r="Q136" s="249"/>
      <c r="R136" s="246" t="s">
        <v>1493</v>
      </c>
      <c r="S136" s="262">
        <v>602668264</v>
      </c>
      <c r="T136" s="288" t="s">
        <v>933</v>
      </c>
    </row>
    <row r="137" spans="2:20" x14ac:dyDescent="0.25">
      <c r="B137" s="10">
        <v>136</v>
      </c>
      <c r="C137" s="53" t="s">
        <v>14</v>
      </c>
      <c r="D137" s="22" t="s">
        <v>30</v>
      </c>
      <c r="E137" s="123" t="s">
        <v>25</v>
      </c>
      <c r="F137" s="124" t="s">
        <v>1337</v>
      </c>
      <c r="G137" s="125"/>
      <c r="H137" s="126">
        <v>2006</v>
      </c>
      <c r="I137" s="127">
        <v>44378</v>
      </c>
      <c r="J137" s="49" t="s">
        <v>17</v>
      </c>
      <c r="K137" s="56">
        <v>2006</v>
      </c>
      <c r="L137" s="127" t="s">
        <v>31</v>
      </c>
      <c r="M137" s="27">
        <v>44404</v>
      </c>
      <c r="N137" s="27">
        <f t="shared" si="6"/>
        <v>46230</v>
      </c>
      <c r="O137" s="27" t="str">
        <f>VLOOKUP(D137,'[1]PZ a UTZ'!$C$341:$H$464,5,FALSE)</f>
        <v>PZ 0594/06-E.49</v>
      </c>
      <c r="P137" s="27">
        <f>VLOOKUP(D137,'[1]PZ a UTZ'!$C$341:$H$464,6,FALSE)</f>
        <v>44415</v>
      </c>
      <c r="Q137" s="27">
        <f>EDATE(P137,60)</f>
        <v>46241</v>
      </c>
      <c r="R137" s="242" t="s">
        <v>1493</v>
      </c>
      <c r="S137" s="258">
        <v>602668264</v>
      </c>
      <c r="T137" s="291" t="s">
        <v>930</v>
      </c>
    </row>
    <row r="138" spans="2:20" x14ac:dyDescent="0.25">
      <c r="B138" s="10">
        <v>137</v>
      </c>
      <c r="C138" s="57" t="s">
        <v>885</v>
      </c>
      <c r="D138" s="58" t="s">
        <v>30</v>
      </c>
      <c r="E138" s="59" t="s">
        <v>25</v>
      </c>
      <c r="F138" s="60">
        <v>26.251000000000001</v>
      </c>
      <c r="G138" s="112" t="s">
        <v>1276</v>
      </c>
      <c r="H138" s="62">
        <v>2006</v>
      </c>
      <c r="I138" s="64">
        <v>38777</v>
      </c>
      <c r="J138" s="64" t="s">
        <v>1338</v>
      </c>
      <c r="K138" s="113">
        <v>2006</v>
      </c>
      <c r="L138" s="154" t="s">
        <v>31</v>
      </c>
      <c r="M138" s="97">
        <v>44404</v>
      </c>
      <c r="N138" s="97">
        <f t="shared" si="6"/>
        <v>46230</v>
      </c>
      <c r="O138" s="249"/>
      <c r="P138" s="249"/>
      <c r="Q138" s="249"/>
      <c r="R138" s="245" t="s">
        <v>1493</v>
      </c>
      <c r="S138" s="261">
        <v>602668264</v>
      </c>
      <c r="T138" s="275" t="s">
        <v>930</v>
      </c>
    </row>
    <row r="139" spans="2:20" x14ac:dyDescent="0.25">
      <c r="B139" s="10">
        <v>138</v>
      </c>
      <c r="C139" s="133" t="s">
        <v>1289</v>
      </c>
      <c r="D139" s="101" t="s">
        <v>30</v>
      </c>
      <c r="E139" s="120" t="s">
        <v>25</v>
      </c>
      <c r="F139" s="121">
        <v>26.251000000000001</v>
      </c>
      <c r="G139" s="122"/>
      <c r="H139" s="134">
        <v>2006</v>
      </c>
      <c r="I139" s="153">
        <v>44378</v>
      </c>
      <c r="J139" s="135" t="s">
        <v>657</v>
      </c>
      <c r="K139" s="134">
        <v>2006</v>
      </c>
      <c r="L139" s="153" t="s">
        <v>1339</v>
      </c>
      <c r="M139" s="108">
        <v>44404</v>
      </c>
      <c r="N139" s="108">
        <f t="shared" si="6"/>
        <v>46230</v>
      </c>
      <c r="O139" s="249"/>
      <c r="P139" s="249"/>
      <c r="Q139" s="249"/>
      <c r="R139" s="246" t="s">
        <v>1493</v>
      </c>
      <c r="S139" s="262">
        <v>602668264</v>
      </c>
      <c r="T139" s="288" t="s">
        <v>930</v>
      </c>
    </row>
    <row r="140" spans="2:20" x14ac:dyDescent="0.25">
      <c r="B140" s="10">
        <v>139</v>
      </c>
      <c r="C140" s="45" t="s">
        <v>190</v>
      </c>
      <c r="D140" s="22" t="s">
        <v>499</v>
      </c>
      <c r="E140" s="46" t="s">
        <v>63</v>
      </c>
      <c r="F140" s="47">
        <v>169.869</v>
      </c>
      <c r="G140" s="47" t="s">
        <v>500</v>
      </c>
      <c r="H140" s="95">
        <v>1983</v>
      </c>
      <c r="I140" s="49">
        <v>44378</v>
      </c>
      <c r="J140" s="49" t="s">
        <v>46</v>
      </c>
      <c r="K140" s="56">
        <v>2008</v>
      </c>
      <c r="L140" s="49" t="s">
        <v>501</v>
      </c>
      <c r="M140" s="27">
        <v>44406</v>
      </c>
      <c r="N140" s="27">
        <f t="shared" si="6"/>
        <v>46232</v>
      </c>
      <c r="O140" s="27" t="s">
        <v>1546</v>
      </c>
      <c r="P140" s="27">
        <v>44406</v>
      </c>
      <c r="Q140" s="27">
        <f t="shared" ref="Q140:Q146" si="7">EDATE(P140,60)</f>
        <v>46232</v>
      </c>
      <c r="R140" s="242" t="s">
        <v>1483</v>
      </c>
      <c r="S140" s="258">
        <v>724214678</v>
      </c>
      <c r="T140" s="274" t="s">
        <v>1120</v>
      </c>
    </row>
    <row r="141" spans="2:20" x14ac:dyDescent="0.25">
      <c r="B141" s="10">
        <v>140</v>
      </c>
      <c r="C141" s="45" t="s">
        <v>190</v>
      </c>
      <c r="D141" s="22" t="s">
        <v>502</v>
      </c>
      <c r="E141" s="46" t="s">
        <v>63</v>
      </c>
      <c r="F141" s="47">
        <v>171.316</v>
      </c>
      <c r="G141" s="47" t="s">
        <v>503</v>
      </c>
      <c r="H141" s="95">
        <v>1983</v>
      </c>
      <c r="I141" s="49">
        <v>44378</v>
      </c>
      <c r="J141" s="49" t="s">
        <v>46</v>
      </c>
      <c r="K141" s="56">
        <v>2008</v>
      </c>
      <c r="L141" s="49" t="s">
        <v>504</v>
      </c>
      <c r="M141" s="27">
        <v>44406</v>
      </c>
      <c r="N141" s="27">
        <f t="shared" si="6"/>
        <v>46232</v>
      </c>
      <c r="O141" s="27" t="s">
        <v>1547</v>
      </c>
      <c r="P141" s="27">
        <v>44406</v>
      </c>
      <c r="Q141" s="27">
        <f t="shared" si="7"/>
        <v>46232</v>
      </c>
      <c r="R141" s="242" t="s">
        <v>1483</v>
      </c>
      <c r="S141" s="258">
        <v>724214678</v>
      </c>
      <c r="T141" s="274" t="s">
        <v>1121</v>
      </c>
    </row>
    <row r="142" spans="2:20" x14ac:dyDescent="0.25">
      <c r="B142" s="10">
        <v>141</v>
      </c>
      <c r="C142" s="45" t="s">
        <v>190</v>
      </c>
      <c r="D142" s="22" t="s">
        <v>505</v>
      </c>
      <c r="E142" s="46" t="s">
        <v>63</v>
      </c>
      <c r="F142" s="47">
        <v>171.661</v>
      </c>
      <c r="G142" s="47" t="s">
        <v>506</v>
      </c>
      <c r="H142" s="95">
        <v>1983</v>
      </c>
      <c r="I142" s="49">
        <v>44378</v>
      </c>
      <c r="J142" s="49" t="s">
        <v>46</v>
      </c>
      <c r="K142" s="56">
        <v>2008</v>
      </c>
      <c r="L142" s="49" t="s">
        <v>507</v>
      </c>
      <c r="M142" s="27">
        <v>44406</v>
      </c>
      <c r="N142" s="27">
        <f t="shared" si="6"/>
        <v>46232</v>
      </c>
      <c r="O142" s="27" t="s">
        <v>1548</v>
      </c>
      <c r="P142" s="27">
        <v>44406</v>
      </c>
      <c r="Q142" s="27">
        <f t="shared" si="7"/>
        <v>46232</v>
      </c>
      <c r="R142" s="242" t="s">
        <v>1483</v>
      </c>
      <c r="S142" s="258">
        <v>724214678</v>
      </c>
      <c r="T142" s="274" t="s">
        <v>1122</v>
      </c>
    </row>
    <row r="143" spans="2:20" x14ac:dyDescent="0.25">
      <c r="B143" s="10">
        <v>142</v>
      </c>
      <c r="C143" s="71" t="s">
        <v>190</v>
      </c>
      <c r="D143" s="30" t="s">
        <v>779</v>
      </c>
      <c r="E143" s="72" t="s">
        <v>772</v>
      </c>
      <c r="F143" s="73">
        <v>16.167999999999999</v>
      </c>
      <c r="G143" s="73" t="s">
        <v>780</v>
      </c>
      <c r="H143" s="36">
        <v>2021</v>
      </c>
      <c r="I143" s="44">
        <v>44378</v>
      </c>
      <c r="J143" s="44" t="s">
        <v>294</v>
      </c>
      <c r="K143" s="36">
        <v>2021</v>
      </c>
      <c r="L143" s="44" t="s">
        <v>781</v>
      </c>
      <c r="M143" s="37">
        <v>44407</v>
      </c>
      <c r="N143" s="37">
        <f t="shared" si="6"/>
        <v>46233</v>
      </c>
      <c r="O143" s="37" t="str">
        <f>VLOOKUP(F143,'[1]PZ a UTZ'!$E$2:$H$335,3,FALSE)</f>
        <v>PZ 0613/21-E.47</v>
      </c>
      <c r="P143" s="37">
        <f>VLOOKUP(F143,'[1]PZ a UTZ'!$E$2:$H$335,4,FALSE)</f>
        <v>44427</v>
      </c>
      <c r="Q143" s="37">
        <f t="shared" si="7"/>
        <v>46253</v>
      </c>
      <c r="R143" s="243" t="s">
        <v>1492</v>
      </c>
      <c r="S143" s="259">
        <v>724214647</v>
      </c>
      <c r="T143" s="278" t="s">
        <v>1227</v>
      </c>
    </row>
    <row r="144" spans="2:20" x14ac:dyDescent="0.25">
      <c r="B144" s="10">
        <v>143</v>
      </c>
      <c r="C144" s="45" t="s">
        <v>190</v>
      </c>
      <c r="D144" s="22" t="s">
        <v>794</v>
      </c>
      <c r="E144" s="46" t="s">
        <v>772</v>
      </c>
      <c r="F144" s="47">
        <v>41.34</v>
      </c>
      <c r="G144" s="47" t="s">
        <v>795</v>
      </c>
      <c r="H144" s="56">
        <v>2016</v>
      </c>
      <c r="I144" s="49">
        <v>44440</v>
      </c>
      <c r="J144" s="49" t="s">
        <v>124</v>
      </c>
      <c r="K144" s="56">
        <v>2016</v>
      </c>
      <c r="L144" s="49" t="s">
        <v>796</v>
      </c>
      <c r="M144" s="27">
        <v>44442</v>
      </c>
      <c r="N144" s="27">
        <f t="shared" si="6"/>
        <v>46268</v>
      </c>
      <c r="O144" s="27" t="str">
        <f>VLOOKUP(F144,'[1]PZ a UTZ'!$E$2:$H$335,3,FALSE)</f>
        <v>PZ 1389/16-E.49</v>
      </c>
      <c r="P144" s="27">
        <f>VLOOKUP(F144,'[1]PZ a UTZ'!$E$2:$H$335,4,FALSE)</f>
        <v>44463</v>
      </c>
      <c r="Q144" s="27">
        <f t="shared" si="7"/>
        <v>46289</v>
      </c>
      <c r="R144" s="242" t="s">
        <v>797</v>
      </c>
      <c r="S144" s="258">
        <v>724862387</v>
      </c>
      <c r="T144" s="274" t="s">
        <v>1234</v>
      </c>
    </row>
    <row r="145" spans="2:20" x14ac:dyDescent="0.25">
      <c r="B145" s="10">
        <v>144</v>
      </c>
      <c r="C145" s="45" t="s">
        <v>190</v>
      </c>
      <c r="D145" s="22" t="s">
        <v>798</v>
      </c>
      <c r="E145" s="46" t="s">
        <v>772</v>
      </c>
      <c r="F145" s="47">
        <v>53.454000000000001</v>
      </c>
      <c r="G145" s="47" t="s">
        <v>799</v>
      </c>
      <c r="H145" s="56">
        <v>2016</v>
      </c>
      <c r="I145" s="49">
        <v>44440</v>
      </c>
      <c r="J145" s="49" t="s">
        <v>124</v>
      </c>
      <c r="K145" s="56">
        <v>2016</v>
      </c>
      <c r="L145" s="49" t="s">
        <v>800</v>
      </c>
      <c r="M145" s="27">
        <v>44442</v>
      </c>
      <c r="N145" s="27">
        <f t="shared" si="6"/>
        <v>46268</v>
      </c>
      <c r="O145" s="27" t="str">
        <f>VLOOKUP(F145,'[1]PZ a UTZ'!$E$2:$H$335,3,FALSE)</f>
        <v>PZ 1388/16-E.49</v>
      </c>
      <c r="P145" s="27">
        <f>VLOOKUP(F145,'[1]PZ a UTZ'!$E$2:$H$335,4,FALSE)</f>
        <v>44463</v>
      </c>
      <c r="Q145" s="27">
        <f t="shared" si="7"/>
        <v>46289</v>
      </c>
      <c r="R145" s="242" t="s">
        <v>797</v>
      </c>
      <c r="S145" s="258">
        <v>724862387</v>
      </c>
      <c r="T145" s="274" t="s">
        <v>1235</v>
      </c>
    </row>
    <row r="146" spans="2:20" x14ac:dyDescent="0.25">
      <c r="B146" s="10">
        <v>145</v>
      </c>
      <c r="C146" s="155" t="s">
        <v>14</v>
      </c>
      <c r="D146" s="22" t="s">
        <v>792</v>
      </c>
      <c r="E146" s="46" t="s">
        <v>772</v>
      </c>
      <c r="F146" s="54">
        <v>35.582999999999998</v>
      </c>
      <c r="G146" s="47"/>
      <c r="H146" s="48">
        <v>1996</v>
      </c>
      <c r="I146" s="49">
        <v>44440</v>
      </c>
      <c r="J146" s="49" t="s">
        <v>46</v>
      </c>
      <c r="K146" s="48">
        <v>1996</v>
      </c>
      <c r="L146" s="49" t="s">
        <v>876</v>
      </c>
      <c r="M146" s="27">
        <v>44445</v>
      </c>
      <c r="N146" s="27">
        <f t="shared" si="6"/>
        <v>46271</v>
      </c>
      <c r="O146" s="27" t="str">
        <f>VLOOKUP(D146,'[1]PZ a UTZ'!$C$341:$H$464,5,FALSE)</f>
        <v>PZ 2628/96-E.49</v>
      </c>
      <c r="P146" s="27">
        <f>VLOOKUP(D146,'[1]PZ a UTZ'!$C$341:$H$464,6,FALSE)</f>
        <v>44428</v>
      </c>
      <c r="Q146" s="27">
        <f t="shared" si="7"/>
        <v>46254</v>
      </c>
      <c r="R146" s="242" t="s">
        <v>1492</v>
      </c>
      <c r="S146" s="258">
        <v>724214647</v>
      </c>
      <c r="T146" s="274" t="s">
        <v>1262</v>
      </c>
    </row>
    <row r="147" spans="2:20" x14ac:dyDescent="0.25">
      <c r="B147" s="10">
        <v>146</v>
      </c>
      <c r="C147" s="156" t="s">
        <v>1289</v>
      </c>
      <c r="D147" s="101" t="s">
        <v>792</v>
      </c>
      <c r="E147" s="102" t="s">
        <v>772</v>
      </c>
      <c r="F147" s="103">
        <v>35.582999999999998</v>
      </c>
      <c r="G147" s="104" t="s">
        <v>1340</v>
      </c>
      <c r="H147" s="105">
        <v>1996</v>
      </c>
      <c r="I147" s="106">
        <v>44440</v>
      </c>
      <c r="J147" s="106" t="s">
        <v>49</v>
      </c>
      <c r="K147" s="105">
        <v>2016</v>
      </c>
      <c r="L147" s="106" t="s">
        <v>1341</v>
      </c>
      <c r="M147" s="108">
        <v>44445</v>
      </c>
      <c r="N147" s="108">
        <f t="shared" si="6"/>
        <v>46271</v>
      </c>
      <c r="O147" s="209"/>
      <c r="P147" s="209"/>
      <c r="Q147" s="209"/>
      <c r="R147" s="246" t="s">
        <v>1492</v>
      </c>
      <c r="S147" s="262">
        <v>724214647</v>
      </c>
      <c r="T147" s="283" t="s">
        <v>1262</v>
      </c>
    </row>
    <row r="148" spans="2:20" x14ac:dyDescent="0.25">
      <c r="B148" s="10">
        <v>147</v>
      </c>
      <c r="C148" s="53" t="s">
        <v>14</v>
      </c>
      <c r="D148" s="22" t="s">
        <v>1342</v>
      </c>
      <c r="E148" s="46" t="s">
        <v>133</v>
      </c>
      <c r="F148" s="54">
        <v>355.48399999999998</v>
      </c>
      <c r="G148" s="47"/>
      <c r="H148" s="48">
        <v>2006</v>
      </c>
      <c r="I148" s="49">
        <v>44440</v>
      </c>
      <c r="J148" s="49" t="s">
        <v>17</v>
      </c>
      <c r="K148" s="56">
        <v>2006</v>
      </c>
      <c r="L148" s="49" t="s">
        <v>134</v>
      </c>
      <c r="M148" s="27">
        <v>44447</v>
      </c>
      <c r="N148" s="27">
        <f t="shared" si="6"/>
        <v>46273</v>
      </c>
      <c r="O148" s="27" t="str">
        <f>VLOOKUP(D148,'[1]PZ a UTZ'!$C$341:$H$464,5,FALSE)</f>
        <v>PZ 3010/06-E.49</v>
      </c>
      <c r="P148" s="27">
        <f>VLOOKUP(D148,'[1]PZ a UTZ'!$C$341:$H$464,6,FALSE)</f>
        <v>44508</v>
      </c>
      <c r="Q148" s="27">
        <f>EDATE(P148,60)</f>
        <v>46334</v>
      </c>
      <c r="R148" s="242" t="s">
        <v>1530</v>
      </c>
      <c r="S148" s="258">
        <v>725582092</v>
      </c>
      <c r="T148" s="274" t="s">
        <v>968</v>
      </c>
    </row>
    <row r="149" spans="2:20" x14ac:dyDescent="0.25">
      <c r="B149" s="10">
        <v>148</v>
      </c>
      <c r="C149" s="57" t="s">
        <v>885</v>
      </c>
      <c r="D149" s="58" t="s">
        <v>132</v>
      </c>
      <c r="E149" s="59" t="s">
        <v>133</v>
      </c>
      <c r="F149" s="60">
        <v>355.48399999999998</v>
      </c>
      <c r="G149" s="61" t="s">
        <v>1276</v>
      </c>
      <c r="H149" s="62">
        <v>2006</v>
      </c>
      <c r="I149" s="64">
        <v>44440</v>
      </c>
      <c r="J149" s="64" t="s">
        <v>17</v>
      </c>
      <c r="K149" s="113">
        <v>2008</v>
      </c>
      <c r="L149" s="64" t="s">
        <v>887</v>
      </c>
      <c r="M149" s="67">
        <v>44447</v>
      </c>
      <c r="N149" s="67">
        <f t="shared" si="6"/>
        <v>46273</v>
      </c>
      <c r="O149" s="209"/>
      <c r="P149" s="209"/>
      <c r="Q149" s="209"/>
      <c r="R149" s="245" t="s">
        <v>1530</v>
      </c>
      <c r="S149" s="261">
        <v>725582092</v>
      </c>
      <c r="T149" s="275" t="s">
        <v>968</v>
      </c>
    </row>
    <row r="150" spans="2:20" x14ac:dyDescent="0.25">
      <c r="B150" s="10">
        <v>149</v>
      </c>
      <c r="C150" s="21" t="s">
        <v>190</v>
      </c>
      <c r="D150" s="22" t="s">
        <v>156</v>
      </c>
      <c r="E150" s="141" t="s">
        <v>157</v>
      </c>
      <c r="F150" s="24">
        <v>1.81</v>
      </c>
      <c r="G150" s="24" t="s">
        <v>245</v>
      </c>
      <c r="H150" s="25">
        <v>2016</v>
      </c>
      <c r="I150" s="26">
        <v>44440</v>
      </c>
      <c r="J150" s="26" t="s">
        <v>49</v>
      </c>
      <c r="K150" s="86">
        <v>2016</v>
      </c>
      <c r="L150" s="26" t="s">
        <v>246</v>
      </c>
      <c r="M150" s="27">
        <v>44453</v>
      </c>
      <c r="N150" s="27">
        <f t="shared" si="6"/>
        <v>46279</v>
      </c>
      <c r="O150" s="27" t="s">
        <v>1549</v>
      </c>
      <c r="P150" s="27">
        <v>44476</v>
      </c>
      <c r="Q150" s="27">
        <f t="shared" ref="Q150:Q167" si="8">EDATE(P150,60)</f>
        <v>46302</v>
      </c>
      <c r="R150" s="242" t="s">
        <v>1543</v>
      </c>
      <c r="S150" s="258">
        <v>724862434</v>
      </c>
      <c r="T150" s="268" t="s">
        <v>1022</v>
      </c>
    </row>
    <row r="151" spans="2:20" x14ac:dyDescent="0.25">
      <c r="B151" s="10">
        <v>150</v>
      </c>
      <c r="C151" s="21" t="s">
        <v>190</v>
      </c>
      <c r="D151" s="22" t="s">
        <v>156</v>
      </c>
      <c r="E151" s="141" t="s">
        <v>157</v>
      </c>
      <c r="F151" s="24">
        <v>2.3319999999999999</v>
      </c>
      <c r="G151" s="24" t="s">
        <v>247</v>
      </c>
      <c r="H151" s="25">
        <v>2016</v>
      </c>
      <c r="I151" s="26">
        <v>44440</v>
      </c>
      <c r="J151" s="26" t="s">
        <v>49</v>
      </c>
      <c r="K151" s="86">
        <v>2016</v>
      </c>
      <c r="L151" s="26" t="s">
        <v>248</v>
      </c>
      <c r="M151" s="27">
        <v>44453</v>
      </c>
      <c r="N151" s="27">
        <f t="shared" si="6"/>
        <v>46279</v>
      </c>
      <c r="O151" s="27" t="s">
        <v>1550</v>
      </c>
      <c r="P151" s="27">
        <v>44476</v>
      </c>
      <c r="Q151" s="27">
        <f t="shared" si="8"/>
        <v>46302</v>
      </c>
      <c r="R151" s="242" t="s">
        <v>1543</v>
      </c>
      <c r="S151" s="258">
        <v>724862434</v>
      </c>
      <c r="T151" s="268" t="s">
        <v>1023</v>
      </c>
    </row>
    <row r="152" spans="2:20" x14ac:dyDescent="0.25">
      <c r="B152" s="10">
        <v>151</v>
      </c>
      <c r="C152" s="21" t="s">
        <v>190</v>
      </c>
      <c r="D152" s="22" t="s">
        <v>156</v>
      </c>
      <c r="E152" s="141" t="s">
        <v>157</v>
      </c>
      <c r="F152" s="24">
        <v>2.6560000000000001</v>
      </c>
      <c r="G152" s="24" t="s">
        <v>249</v>
      </c>
      <c r="H152" s="25">
        <v>2016</v>
      </c>
      <c r="I152" s="26">
        <v>44440</v>
      </c>
      <c r="J152" s="26" t="s">
        <v>49</v>
      </c>
      <c r="K152" s="86">
        <v>2016</v>
      </c>
      <c r="L152" s="26" t="s">
        <v>250</v>
      </c>
      <c r="M152" s="27">
        <v>44453</v>
      </c>
      <c r="N152" s="27">
        <f t="shared" si="6"/>
        <v>46279</v>
      </c>
      <c r="O152" s="27" t="s">
        <v>1551</v>
      </c>
      <c r="P152" s="27">
        <v>44476</v>
      </c>
      <c r="Q152" s="27">
        <f t="shared" si="8"/>
        <v>46302</v>
      </c>
      <c r="R152" s="242" t="s">
        <v>1543</v>
      </c>
      <c r="S152" s="258">
        <v>724862434</v>
      </c>
      <c r="T152" s="268" t="s">
        <v>1024</v>
      </c>
    </row>
    <row r="153" spans="2:20" x14ac:dyDescent="0.25">
      <c r="B153" s="10">
        <v>152</v>
      </c>
      <c r="C153" s="21" t="s">
        <v>190</v>
      </c>
      <c r="D153" s="22" t="s">
        <v>156</v>
      </c>
      <c r="E153" s="141" t="s">
        <v>157</v>
      </c>
      <c r="F153" s="24">
        <v>3.097</v>
      </c>
      <c r="G153" s="24" t="s">
        <v>251</v>
      </c>
      <c r="H153" s="25">
        <v>2016</v>
      </c>
      <c r="I153" s="26">
        <v>44440</v>
      </c>
      <c r="J153" s="26" t="s">
        <v>49</v>
      </c>
      <c r="K153" s="86">
        <v>2016</v>
      </c>
      <c r="L153" s="26" t="s">
        <v>252</v>
      </c>
      <c r="M153" s="27">
        <v>44453</v>
      </c>
      <c r="N153" s="27">
        <f t="shared" si="6"/>
        <v>46279</v>
      </c>
      <c r="O153" s="27" t="s">
        <v>1552</v>
      </c>
      <c r="P153" s="27">
        <v>43710</v>
      </c>
      <c r="Q153" s="27">
        <f t="shared" si="8"/>
        <v>45537</v>
      </c>
      <c r="R153" s="242" t="s">
        <v>1543</v>
      </c>
      <c r="S153" s="258">
        <v>724862434</v>
      </c>
      <c r="T153" s="268" t="s">
        <v>1025</v>
      </c>
    </row>
    <row r="154" spans="2:20" x14ac:dyDescent="0.25">
      <c r="B154" s="10">
        <v>153</v>
      </c>
      <c r="C154" s="21" t="s">
        <v>190</v>
      </c>
      <c r="D154" s="22" t="s">
        <v>256</v>
      </c>
      <c r="E154" s="141" t="s">
        <v>157</v>
      </c>
      <c r="F154" s="24">
        <v>4.7309999999999999</v>
      </c>
      <c r="G154" s="24" t="s">
        <v>257</v>
      </c>
      <c r="H154" s="25">
        <v>2016</v>
      </c>
      <c r="I154" s="26">
        <v>44440</v>
      </c>
      <c r="J154" s="26" t="s">
        <v>49</v>
      </c>
      <c r="K154" s="86">
        <v>2016</v>
      </c>
      <c r="L154" s="26" t="s">
        <v>258</v>
      </c>
      <c r="M154" s="27">
        <v>44459</v>
      </c>
      <c r="N154" s="27">
        <f t="shared" si="6"/>
        <v>46285</v>
      </c>
      <c r="O154" s="27" t="s">
        <v>1553</v>
      </c>
      <c r="P154" s="27">
        <v>44476</v>
      </c>
      <c r="Q154" s="27">
        <f t="shared" si="8"/>
        <v>46302</v>
      </c>
      <c r="R154" s="242" t="s">
        <v>1543</v>
      </c>
      <c r="S154" s="258">
        <v>724862434</v>
      </c>
      <c r="T154" s="268" t="s">
        <v>1027</v>
      </c>
    </row>
    <row r="155" spans="2:20" x14ac:dyDescent="0.25">
      <c r="B155" s="10">
        <v>154</v>
      </c>
      <c r="C155" s="21" t="s">
        <v>190</v>
      </c>
      <c r="D155" s="22" t="s">
        <v>256</v>
      </c>
      <c r="E155" s="141" t="s">
        <v>157</v>
      </c>
      <c r="F155" s="24">
        <v>5.0039999999999996</v>
      </c>
      <c r="G155" s="24" t="s">
        <v>259</v>
      </c>
      <c r="H155" s="25">
        <v>2016</v>
      </c>
      <c r="I155" s="26">
        <v>44440</v>
      </c>
      <c r="J155" s="26" t="s">
        <v>49</v>
      </c>
      <c r="K155" s="86">
        <v>2016</v>
      </c>
      <c r="L155" s="26" t="s">
        <v>260</v>
      </c>
      <c r="M155" s="27">
        <v>44459</v>
      </c>
      <c r="N155" s="27">
        <f t="shared" si="6"/>
        <v>46285</v>
      </c>
      <c r="O155" s="27" t="s">
        <v>1554</v>
      </c>
      <c r="P155" s="27">
        <v>44476</v>
      </c>
      <c r="Q155" s="27">
        <f t="shared" si="8"/>
        <v>46302</v>
      </c>
      <c r="R155" s="242" t="s">
        <v>1543</v>
      </c>
      <c r="S155" s="258">
        <v>724862434</v>
      </c>
      <c r="T155" s="268" t="s">
        <v>1028</v>
      </c>
    </row>
    <row r="156" spans="2:20" x14ac:dyDescent="0.25">
      <c r="B156" s="10">
        <v>155</v>
      </c>
      <c r="C156" s="21" t="s">
        <v>190</v>
      </c>
      <c r="D156" s="22" t="s">
        <v>256</v>
      </c>
      <c r="E156" s="141" t="s">
        <v>157</v>
      </c>
      <c r="F156" s="157">
        <v>5.1719999999999997</v>
      </c>
      <c r="G156" s="158" t="s">
        <v>1343</v>
      </c>
      <c r="H156" s="25">
        <v>2016</v>
      </c>
      <c r="I156" s="26">
        <v>44440</v>
      </c>
      <c r="J156" s="26" t="s">
        <v>49</v>
      </c>
      <c r="K156" s="86">
        <v>2016</v>
      </c>
      <c r="L156" s="26" t="s">
        <v>261</v>
      </c>
      <c r="M156" s="27">
        <v>44459</v>
      </c>
      <c r="N156" s="27">
        <f t="shared" si="6"/>
        <v>46285</v>
      </c>
      <c r="O156" s="27" t="s">
        <v>1555</v>
      </c>
      <c r="P156" s="27">
        <v>44476</v>
      </c>
      <c r="Q156" s="27">
        <f t="shared" si="8"/>
        <v>46302</v>
      </c>
      <c r="R156" s="242" t="s">
        <v>1543</v>
      </c>
      <c r="S156" s="258">
        <v>724862434</v>
      </c>
      <c r="T156" s="268" t="s">
        <v>1029</v>
      </c>
    </row>
    <row r="157" spans="2:20" x14ac:dyDescent="0.25">
      <c r="B157" s="10">
        <v>156</v>
      </c>
      <c r="C157" s="21" t="s">
        <v>190</v>
      </c>
      <c r="D157" s="22" t="s">
        <v>256</v>
      </c>
      <c r="E157" s="141" t="s">
        <v>157</v>
      </c>
      <c r="F157" s="24">
        <v>5.4109999999999996</v>
      </c>
      <c r="G157" s="24" t="s">
        <v>262</v>
      </c>
      <c r="H157" s="25">
        <v>2016</v>
      </c>
      <c r="I157" s="26">
        <v>44440</v>
      </c>
      <c r="J157" s="26" t="s">
        <v>49</v>
      </c>
      <c r="K157" s="86">
        <v>2016</v>
      </c>
      <c r="L157" s="26" t="s">
        <v>263</v>
      </c>
      <c r="M157" s="27">
        <v>44460</v>
      </c>
      <c r="N157" s="27">
        <f t="shared" si="6"/>
        <v>46286</v>
      </c>
      <c r="O157" s="27" t="s">
        <v>1556</v>
      </c>
      <c r="P157" s="27">
        <v>44476</v>
      </c>
      <c r="Q157" s="27">
        <f t="shared" si="8"/>
        <v>46302</v>
      </c>
      <c r="R157" s="242" t="s">
        <v>1534</v>
      </c>
      <c r="S157" s="258">
        <v>725138711</v>
      </c>
      <c r="T157" s="276" t="s">
        <v>1653</v>
      </c>
    </row>
    <row r="158" spans="2:20" x14ac:dyDescent="0.25">
      <c r="B158" s="10">
        <v>157</v>
      </c>
      <c r="C158" s="21" t="s">
        <v>190</v>
      </c>
      <c r="D158" s="22" t="s">
        <v>256</v>
      </c>
      <c r="E158" s="141" t="s">
        <v>157</v>
      </c>
      <c r="F158" s="24">
        <v>6.2619999999999996</v>
      </c>
      <c r="G158" s="24" t="s">
        <v>264</v>
      </c>
      <c r="H158" s="25">
        <v>2016</v>
      </c>
      <c r="I158" s="26">
        <v>44440</v>
      </c>
      <c r="J158" s="26" t="s">
        <v>49</v>
      </c>
      <c r="K158" s="86">
        <v>2016</v>
      </c>
      <c r="L158" s="26" t="s">
        <v>265</v>
      </c>
      <c r="M158" s="27">
        <v>44460</v>
      </c>
      <c r="N158" s="27">
        <f t="shared" si="6"/>
        <v>46286</v>
      </c>
      <c r="O158" s="27" t="s">
        <v>1557</v>
      </c>
      <c r="P158" s="27">
        <v>44476</v>
      </c>
      <c r="Q158" s="27">
        <f t="shared" si="8"/>
        <v>46302</v>
      </c>
      <c r="R158" s="242" t="s">
        <v>1534</v>
      </c>
      <c r="S158" s="258">
        <v>725138711</v>
      </c>
      <c r="T158" s="276" t="s">
        <v>1654</v>
      </c>
    </row>
    <row r="159" spans="2:20" x14ac:dyDescent="0.25">
      <c r="B159" s="10">
        <v>158</v>
      </c>
      <c r="C159" s="21" t="s">
        <v>190</v>
      </c>
      <c r="D159" s="22" t="s">
        <v>266</v>
      </c>
      <c r="E159" s="141" t="s">
        <v>157</v>
      </c>
      <c r="F159" s="24">
        <v>6.8970000000000002</v>
      </c>
      <c r="G159" s="24" t="s">
        <v>267</v>
      </c>
      <c r="H159" s="25">
        <v>2016</v>
      </c>
      <c r="I159" s="26">
        <v>44440</v>
      </c>
      <c r="J159" s="26" t="s">
        <v>49</v>
      </c>
      <c r="K159" s="86">
        <v>2016</v>
      </c>
      <c r="L159" s="26" t="s">
        <v>268</v>
      </c>
      <c r="M159" s="27">
        <v>44460</v>
      </c>
      <c r="N159" s="27">
        <f t="shared" si="6"/>
        <v>46286</v>
      </c>
      <c r="O159" s="27" t="s">
        <v>1558</v>
      </c>
      <c r="P159" s="27">
        <v>44476</v>
      </c>
      <c r="Q159" s="27">
        <f t="shared" si="8"/>
        <v>46302</v>
      </c>
      <c r="R159" s="242" t="s">
        <v>1534</v>
      </c>
      <c r="S159" s="258">
        <v>725138711</v>
      </c>
      <c r="T159" s="276" t="s">
        <v>1655</v>
      </c>
    </row>
    <row r="160" spans="2:20" x14ac:dyDescent="0.25">
      <c r="B160" s="10">
        <v>159</v>
      </c>
      <c r="C160" s="21" t="s">
        <v>190</v>
      </c>
      <c r="D160" s="22" t="s">
        <v>160</v>
      </c>
      <c r="E160" s="141" t="s">
        <v>157</v>
      </c>
      <c r="F160" s="24">
        <v>7.1</v>
      </c>
      <c r="G160" s="24" t="s">
        <v>269</v>
      </c>
      <c r="H160" s="25">
        <v>2016</v>
      </c>
      <c r="I160" s="26">
        <v>44440</v>
      </c>
      <c r="J160" s="26" t="s">
        <v>49</v>
      </c>
      <c r="K160" s="86">
        <v>2016</v>
      </c>
      <c r="L160" s="26" t="s">
        <v>270</v>
      </c>
      <c r="M160" s="27">
        <v>44462</v>
      </c>
      <c r="N160" s="27">
        <f t="shared" si="6"/>
        <v>46288</v>
      </c>
      <c r="O160" s="27" t="s">
        <v>1559</v>
      </c>
      <c r="P160" s="27">
        <v>44476</v>
      </c>
      <c r="Q160" s="27">
        <f t="shared" si="8"/>
        <v>46302</v>
      </c>
      <c r="R160" s="242" t="s">
        <v>1543</v>
      </c>
      <c r="S160" s="258">
        <v>724862434</v>
      </c>
      <c r="T160" s="276" t="s">
        <v>1656</v>
      </c>
    </row>
    <row r="161" spans="2:20" x14ac:dyDescent="0.25">
      <c r="B161" s="10">
        <v>160</v>
      </c>
      <c r="C161" s="21" t="s">
        <v>190</v>
      </c>
      <c r="D161" s="22" t="s">
        <v>162</v>
      </c>
      <c r="E161" s="141" t="s">
        <v>157</v>
      </c>
      <c r="F161" s="24">
        <v>11.058</v>
      </c>
      <c r="G161" s="24" t="s">
        <v>280</v>
      </c>
      <c r="H161" s="25">
        <v>2016</v>
      </c>
      <c r="I161" s="26">
        <v>44440</v>
      </c>
      <c r="J161" s="26" t="s">
        <v>49</v>
      </c>
      <c r="K161" s="86">
        <v>2016</v>
      </c>
      <c r="L161" s="26" t="s">
        <v>281</v>
      </c>
      <c r="M161" s="27">
        <v>44462</v>
      </c>
      <c r="N161" s="27">
        <f t="shared" si="6"/>
        <v>46288</v>
      </c>
      <c r="O161" s="27" t="s">
        <v>1560</v>
      </c>
      <c r="P161" s="27">
        <v>44476</v>
      </c>
      <c r="Q161" s="27">
        <f t="shared" si="8"/>
        <v>46302</v>
      </c>
      <c r="R161" s="242" t="s">
        <v>1534</v>
      </c>
      <c r="S161" s="258">
        <v>725138711</v>
      </c>
      <c r="T161" s="268" t="s">
        <v>1032</v>
      </c>
    </row>
    <row r="162" spans="2:20" x14ac:dyDescent="0.25">
      <c r="B162" s="10">
        <v>161</v>
      </c>
      <c r="C162" s="21" t="s">
        <v>190</v>
      </c>
      <c r="D162" s="22" t="s">
        <v>162</v>
      </c>
      <c r="E162" s="141" t="s">
        <v>157</v>
      </c>
      <c r="F162" s="24">
        <v>11.377000000000001</v>
      </c>
      <c r="G162" s="24" t="s">
        <v>282</v>
      </c>
      <c r="H162" s="25">
        <v>2016</v>
      </c>
      <c r="I162" s="26">
        <v>44440</v>
      </c>
      <c r="J162" s="26" t="s">
        <v>49</v>
      </c>
      <c r="K162" s="86">
        <v>2016</v>
      </c>
      <c r="L162" s="26" t="s">
        <v>283</v>
      </c>
      <c r="M162" s="27">
        <v>44462</v>
      </c>
      <c r="N162" s="27">
        <f t="shared" si="6"/>
        <v>46288</v>
      </c>
      <c r="O162" s="27" t="s">
        <v>1561</v>
      </c>
      <c r="P162" s="27">
        <v>44476</v>
      </c>
      <c r="Q162" s="27">
        <f t="shared" si="8"/>
        <v>46302</v>
      </c>
      <c r="R162" s="242" t="s">
        <v>1534</v>
      </c>
      <c r="S162" s="258">
        <v>725138711</v>
      </c>
      <c r="T162" s="268" t="s">
        <v>1032</v>
      </c>
    </row>
    <row r="163" spans="2:20" x14ac:dyDescent="0.25">
      <c r="B163" s="10">
        <v>162</v>
      </c>
      <c r="C163" s="21" t="s">
        <v>190</v>
      </c>
      <c r="D163" s="22" t="s">
        <v>162</v>
      </c>
      <c r="E163" s="141" t="s">
        <v>157</v>
      </c>
      <c r="F163" s="24">
        <v>11.718999999999999</v>
      </c>
      <c r="G163" s="24" t="s">
        <v>284</v>
      </c>
      <c r="H163" s="25">
        <v>2016</v>
      </c>
      <c r="I163" s="26">
        <v>44440</v>
      </c>
      <c r="J163" s="26" t="s">
        <v>49</v>
      </c>
      <c r="K163" s="86">
        <v>2016</v>
      </c>
      <c r="L163" s="26" t="s">
        <v>285</v>
      </c>
      <c r="M163" s="27">
        <v>44462</v>
      </c>
      <c r="N163" s="27">
        <f t="shared" si="6"/>
        <v>46288</v>
      </c>
      <c r="O163" s="27" t="s">
        <v>1562</v>
      </c>
      <c r="P163" s="27">
        <v>44476</v>
      </c>
      <c r="Q163" s="27">
        <f t="shared" si="8"/>
        <v>46302</v>
      </c>
      <c r="R163" s="242" t="s">
        <v>1534</v>
      </c>
      <c r="S163" s="258">
        <v>725138711</v>
      </c>
      <c r="T163" s="268" t="s">
        <v>1033</v>
      </c>
    </row>
    <row r="164" spans="2:20" x14ac:dyDescent="0.25">
      <c r="B164" s="10">
        <v>163</v>
      </c>
      <c r="C164" s="21" t="s">
        <v>190</v>
      </c>
      <c r="D164" s="22" t="s">
        <v>162</v>
      </c>
      <c r="E164" s="141" t="s">
        <v>157</v>
      </c>
      <c r="F164" s="24">
        <v>12.164999999999999</v>
      </c>
      <c r="G164" s="24" t="s">
        <v>286</v>
      </c>
      <c r="H164" s="25">
        <v>2016</v>
      </c>
      <c r="I164" s="26">
        <v>44440</v>
      </c>
      <c r="J164" s="26" t="s">
        <v>49</v>
      </c>
      <c r="K164" s="86">
        <v>2016</v>
      </c>
      <c r="L164" s="26" t="s">
        <v>287</v>
      </c>
      <c r="M164" s="27">
        <v>44463</v>
      </c>
      <c r="N164" s="27">
        <f t="shared" si="6"/>
        <v>46289</v>
      </c>
      <c r="O164" s="27" t="s">
        <v>1563</v>
      </c>
      <c r="P164" s="27">
        <v>44476</v>
      </c>
      <c r="Q164" s="27">
        <f t="shared" si="8"/>
        <v>46302</v>
      </c>
      <c r="R164" s="242" t="s">
        <v>1534</v>
      </c>
      <c r="S164" s="258">
        <v>725138711</v>
      </c>
      <c r="T164" s="268" t="s">
        <v>1034</v>
      </c>
    </row>
    <row r="165" spans="2:20" x14ac:dyDescent="0.25">
      <c r="B165" s="10">
        <v>164</v>
      </c>
      <c r="C165" s="21" t="s">
        <v>190</v>
      </c>
      <c r="D165" s="22" t="s">
        <v>162</v>
      </c>
      <c r="E165" s="141" t="s">
        <v>157</v>
      </c>
      <c r="F165" s="24">
        <v>12.361000000000001</v>
      </c>
      <c r="G165" s="24" t="s">
        <v>288</v>
      </c>
      <c r="H165" s="25">
        <v>2016</v>
      </c>
      <c r="I165" s="26">
        <v>44440</v>
      </c>
      <c r="J165" s="26" t="s">
        <v>49</v>
      </c>
      <c r="K165" s="86">
        <v>2016</v>
      </c>
      <c r="L165" s="26" t="s">
        <v>289</v>
      </c>
      <c r="M165" s="27">
        <v>44463</v>
      </c>
      <c r="N165" s="27">
        <f t="shared" si="6"/>
        <v>46289</v>
      </c>
      <c r="O165" s="27" t="s">
        <v>1564</v>
      </c>
      <c r="P165" s="27">
        <v>44476</v>
      </c>
      <c r="Q165" s="27">
        <f t="shared" si="8"/>
        <v>46302</v>
      </c>
      <c r="R165" s="242" t="s">
        <v>1534</v>
      </c>
      <c r="S165" s="258">
        <v>725138711</v>
      </c>
      <c r="T165" s="268" t="s">
        <v>1035</v>
      </c>
    </row>
    <row r="166" spans="2:20" x14ac:dyDescent="0.25">
      <c r="B166" s="10">
        <v>165</v>
      </c>
      <c r="C166" s="21" t="s">
        <v>190</v>
      </c>
      <c r="D166" s="22" t="s">
        <v>162</v>
      </c>
      <c r="E166" s="141" t="s">
        <v>157</v>
      </c>
      <c r="F166" s="24">
        <v>12.933</v>
      </c>
      <c r="G166" s="24" t="s">
        <v>290</v>
      </c>
      <c r="H166" s="25">
        <v>2016</v>
      </c>
      <c r="I166" s="26">
        <v>44440</v>
      </c>
      <c r="J166" s="26" t="s">
        <v>49</v>
      </c>
      <c r="K166" s="86">
        <v>2016</v>
      </c>
      <c r="L166" s="26" t="s">
        <v>291</v>
      </c>
      <c r="M166" s="27">
        <v>44463</v>
      </c>
      <c r="N166" s="27">
        <f t="shared" si="6"/>
        <v>46289</v>
      </c>
      <c r="O166" s="27" t="s">
        <v>1565</v>
      </c>
      <c r="P166" s="27">
        <v>44476</v>
      </c>
      <c r="Q166" s="27">
        <f t="shared" si="8"/>
        <v>46302</v>
      </c>
      <c r="R166" s="242" t="s">
        <v>1534</v>
      </c>
      <c r="S166" s="258">
        <v>725138711</v>
      </c>
      <c r="T166" s="268" t="s">
        <v>1036</v>
      </c>
    </row>
    <row r="167" spans="2:20" x14ac:dyDescent="0.25">
      <c r="B167" s="10">
        <v>166</v>
      </c>
      <c r="C167" s="53" t="s">
        <v>14</v>
      </c>
      <c r="D167" s="22" t="s">
        <v>160</v>
      </c>
      <c r="E167" s="141" t="s">
        <v>157</v>
      </c>
      <c r="F167" s="69" t="s">
        <v>1344</v>
      </c>
      <c r="G167" s="24"/>
      <c r="H167" s="25">
        <v>2016</v>
      </c>
      <c r="I167" s="26">
        <v>44470</v>
      </c>
      <c r="J167" s="26" t="s">
        <v>158</v>
      </c>
      <c r="K167" s="86">
        <v>2016</v>
      </c>
      <c r="L167" s="26" t="s">
        <v>161</v>
      </c>
      <c r="M167" s="27">
        <v>44476</v>
      </c>
      <c r="N167" s="27">
        <f t="shared" si="6"/>
        <v>46302</v>
      </c>
      <c r="O167" s="27" t="str">
        <f>VLOOKUP(D167,'[1]PZ a UTZ'!$C$341:$H$464,5,FALSE)</f>
        <v>PZ 1995/16-E.49</v>
      </c>
      <c r="P167" s="27">
        <f>VLOOKUP(D167,'[1]PZ a UTZ'!$C$341:$H$464,6,FALSE)</f>
        <v>44482</v>
      </c>
      <c r="Q167" s="27">
        <f t="shared" si="8"/>
        <v>46308</v>
      </c>
      <c r="R167" s="242" t="s">
        <v>1543</v>
      </c>
      <c r="S167" s="258">
        <v>724862434</v>
      </c>
      <c r="T167" s="268" t="s">
        <v>981</v>
      </c>
    </row>
    <row r="168" spans="2:20" x14ac:dyDescent="0.25">
      <c r="B168" s="10">
        <v>167</v>
      </c>
      <c r="C168" s="57" t="s">
        <v>885</v>
      </c>
      <c r="D168" s="58" t="s">
        <v>160</v>
      </c>
      <c r="E168" s="159" t="s">
        <v>157</v>
      </c>
      <c r="F168" s="160">
        <v>7.4470000000000001</v>
      </c>
      <c r="G168" s="61" t="s">
        <v>1345</v>
      </c>
      <c r="H168" s="65">
        <v>2016</v>
      </c>
      <c r="I168" s="66">
        <v>44470</v>
      </c>
      <c r="J168" s="66" t="s">
        <v>16</v>
      </c>
      <c r="K168" s="70">
        <v>2016</v>
      </c>
      <c r="L168" s="66" t="s">
        <v>905</v>
      </c>
      <c r="M168" s="67">
        <v>44476</v>
      </c>
      <c r="N168" s="67">
        <f t="shared" si="6"/>
        <v>46302</v>
      </c>
      <c r="O168" s="209"/>
      <c r="P168" s="209"/>
      <c r="Q168" s="209"/>
      <c r="R168" s="245" t="s">
        <v>1543</v>
      </c>
      <c r="S168" s="261">
        <v>724862434</v>
      </c>
      <c r="T168" s="295" t="s">
        <v>981</v>
      </c>
    </row>
    <row r="169" spans="2:20" x14ac:dyDescent="0.25">
      <c r="B169" s="10">
        <v>168</v>
      </c>
      <c r="C169" s="53" t="s">
        <v>14</v>
      </c>
      <c r="D169" s="22" t="s">
        <v>162</v>
      </c>
      <c r="E169" s="141" t="s">
        <v>157</v>
      </c>
      <c r="F169" s="69">
        <v>12.672000000000001</v>
      </c>
      <c r="G169" s="24"/>
      <c r="H169" s="25">
        <v>2016</v>
      </c>
      <c r="I169" s="26">
        <v>44470</v>
      </c>
      <c r="J169" s="26" t="s">
        <v>158</v>
      </c>
      <c r="K169" s="86">
        <v>2016</v>
      </c>
      <c r="L169" s="26" t="s">
        <v>163</v>
      </c>
      <c r="M169" s="27">
        <v>44477</v>
      </c>
      <c r="N169" s="27">
        <f t="shared" si="6"/>
        <v>46303</v>
      </c>
      <c r="O169" s="27" t="str">
        <f>VLOOKUP(D169,'[1]PZ a UTZ'!$C$341:$H$464,5,FALSE)</f>
        <v>PZ 1994/16-E.49</v>
      </c>
      <c r="P169" s="27">
        <f>VLOOKUP(D169,'[1]PZ a UTZ'!$C$341:$H$464,6,FALSE)</f>
        <v>44480</v>
      </c>
      <c r="Q169" s="27">
        <f>EDATE(P169,60)</f>
        <v>46306</v>
      </c>
      <c r="R169" s="242" t="s">
        <v>1534</v>
      </c>
      <c r="S169" s="258">
        <v>725138711</v>
      </c>
      <c r="T169" s="268" t="s">
        <v>982</v>
      </c>
    </row>
    <row r="170" spans="2:20" x14ac:dyDescent="0.25">
      <c r="B170" s="10">
        <v>169</v>
      </c>
      <c r="C170" s="161" t="s">
        <v>164</v>
      </c>
      <c r="D170" s="22" t="s">
        <v>1346</v>
      </c>
      <c r="E170" s="141" t="s">
        <v>157</v>
      </c>
      <c r="F170" s="69">
        <v>12.672000000000001</v>
      </c>
      <c r="G170" s="47" t="s">
        <v>1347</v>
      </c>
      <c r="H170" s="48">
        <v>2016</v>
      </c>
      <c r="I170" s="49">
        <v>44470</v>
      </c>
      <c r="J170" s="49" t="s">
        <v>158</v>
      </c>
      <c r="K170" s="56">
        <v>2016</v>
      </c>
      <c r="L170" s="26" t="s">
        <v>163</v>
      </c>
      <c r="M170" s="27">
        <v>44477</v>
      </c>
      <c r="N170" s="27">
        <f t="shared" si="6"/>
        <v>46303</v>
      </c>
      <c r="O170" s="27" t="s">
        <v>1566</v>
      </c>
      <c r="P170" s="27">
        <v>44488</v>
      </c>
      <c r="Q170" s="27">
        <f>EDATE(P170,60)</f>
        <v>46314</v>
      </c>
      <c r="R170" s="242" t="s">
        <v>1534</v>
      </c>
      <c r="S170" s="258">
        <v>725138711</v>
      </c>
      <c r="T170" s="274" t="s">
        <v>1657</v>
      </c>
    </row>
    <row r="171" spans="2:20" x14ac:dyDescent="0.25">
      <c r="B171" s="10">
        <v>170</v>
      </c>
      <c r="C171" s="57" t="s">
        <v>885</v>
      </c>
      <c r="D171" s="58" t="s">
        <v>162</v>
      </c>
      <c r="E171" s="159" t="s">
        <v>157</v>
      </c>
      <c r="F171" s="160">
        <v>12.672000000000001</v>
      </c>
      <c r="G171" s="61" t="s">
        <v>1276</v>
      </c>
      <c r="H171" s="65">
        <v>2016</v>
      </c>
      <c r="I171" s="66">
        <v>44470</v>
      </c>
      <c r="J171" s="66" t="s">
        <v>16</v>
      </c>
      <c r="K171" s="70">
        <v>2016</v>
      </c>
      <c r="L171" s="66" t="s">
        <v>906</v>
      </c>
      <c r="M171" s="67">
        <v>44477</v>
      </c>
      <c r="N171" s="67">
        <f t="shared" si="6"/>
        <v>46303</v>
      </c>
      <c r="O171" s="209"/>
      <c r="P171" s="209"/>
      <c r="Q171" s="209"/>
      <c r="R171" s="245" t="s">
        <v>1534</v>
      </c>
      <c r="S171" s="261">
        <v>725138711</v>
      </c>
      <c r="T171" s="295" t="s">
        <v>982</v>
      </c>
    </row>
    <row r="172" spans="2:20" x14ac:dyDescent="0.25">
      <c r="B172" s="10">
        <v>171</v>
      </c>
      <c r="C172" s="71" t="s">
        <v>190</v>
      </c>
      <c r="D172" s="30" t="s">
        <v>792</v>
      </c>
      <c r="E172" s="72" t="s">
        <v>772</v>
      </c>
      <c r="F172" s="73">
        <v>36.756</v>
      </c>
      <c r="G172" s="73" t="s">
        <v>793</v>
      </c>
      <c r="H172" s="89">
        <v>2021</v>
      </c>
      <c r="I172" s="44">
        <v>44470</v>
      </c>
      <c r="J172" s="44" t="s">
        <v>294</v>
      </c>
      <c r="K172" s="36">
        <v>2021</v>
      </c>
      <c r="L172" s="35" t="s">
        <v>176</v>
      </c>
      <c r="M172" s="37">
        <v>44483</v>
      </c>
      <c r="N172" s="37">
        <f t="shared" si="6"/>
        <v>46309</v>
      </c>
      <c r="O172" s="37" t="str">
        <f>VLOOKUP(F172,'[1]PZ a UTZ'!$E$2:$H$335,3,FALSE)</f>
        <v>PZ 1416/21-E.49</v>
      </c>
      <c r="P172" s="37">
        <f>VLOOKUP(F172,'[1]PZ a UTZ'!$E$2:$H$335,4,FALSE)</f>
        <v>44486</v>
      </c>
      <c r="Q172" s="37">
        <f t="shared" ref="Q172:Q182" si="9">EDATE(P172,60)</f>
        <v>46312</v>
      </c>
      <c r="R172" s="243" t="s">
        <v>1492</v>
      </c>
      <c r="S172" s="259">
        <v>724214647</v>
      </c>
      <c r="T172" s="278" t="s">
        <v>1233</v>
      </c>
    </row>
    <row r="173" spans="2:20" x14ac:dyDescent="0.25">
      <c r="B173" s="10">
        <v>172</v>
      </c>
      <c r="C173" s="45" t="s">
        <v>190</v>
      </c>
      <c r="D173" s="22" t="s">
        <v>726</v>
      </c>
      <c r="E173" s="46" t="s">
        <v>112</v>
      </c>
      <c r="F173" s="47">
        <v>52.328000000000003</v>
      </c>
      <c r="G173" s="47" t="s">
        <v>727</v>
      </c>
      <c r="H173" s="48">
        <v>2016</v>
      </c>
      <c r="I173" s="49">
        <v>44470</v>
      </c>
      <c r="J173" s="49" t="s">
        <v>124</v>
      </c>
      <c r="K173" s="56">
        <v>2016</v>
      </c>
      <c r="L173" s="49" t="s">
        <v>728</v>
      </c>
      <c r="M173" s="27">
        <v>44490</v>
      </c>
      <c r="N173" s="27">
        <f t="shared" si="6"/>
        <v>46316</v>
      </c>
      <c r="O173" s="27" t="str">
        <f>VLOOKUP(F173,'[1]PZ a UTZ'!$E$2:$H$335,3,FALSE)</f>
        <v>PZ 1396/16-E.49</v>
      </c>
      <c r="P173" s="27">
        <f>VLOOKUP(F173,'[1]PZ a UTZ'!$E$2:$H$335,4,FALSE)</f>
        <v>44494</v>
      </c>
      <c r="Q173" s="27">
        <f t="shared" si="9"/>
        <v>46320</v>
      </c>
      <c r="R173" s="242" t="s">
        <v>1487</v>
      </c>
      <c r="S173" s="258">
        <v>725339123</v>
      </c>
      <c r="T173" s="274" t="s">
        <v>1208</v>
      </c>
    </row>
    <row r="174" spans="2:20" x14ac:dyDescent="0.25">
      <c r="B174" s="10">
        <v>173</v>
      </c>
      <c r="C174" s="45" t="s">
        <v>190</v>
      </c>
      <c r="D174" s="22" t="s">
        <v>726</v>
      </c>
      <c r="E174" s="46" t="s">
        <v>112</v>
      </c>
      <c r="F174" s="47">
        <v>53.146000000000001</v>
      </c>
      <c r="G174" s="47" t="s">
        <v>729</v>
      </c>
      <c r="H174" s="48">
        <v>2016</v>
      </c>
      <c r="I174" s="49">
        <v>44470</v>
      </c>
      <c r="J174" s="49" t="s">
        <v>124</v>
      </c>
      <c r="K174" s="56">
        <v>2016</v>
      </c>
      <c r="L174" s="49" t="s">
        <v>730</v>
      </c>
      <c r="M174" s="27">
        <v>44490</v>
      </c>
      <c r="N174" s="27">
        <f t="shared" si="6"/>
        <v>46316</v>
      </c>
      <c r="O174" s="27" t="str">
        <f>VLOOKUP(F174,'[1]PZ a UTZ'!$E$2:$H$335,3,FALSE)</f>
        <v>PZ 1397/16-E.49</v>
      </c>
      <c r="P174" s="27">
        <f>VLOOKUP(F174,'[1]PZ a UTZ'!$E$2:$H$335,4,FALSE)</f>
        <v>44494</v>
      </c>
      <c r="Q174" s="27">
        <f t="shared" si="9"/>
        <v>46320</v>
      </c>
      <c r="R174" s="242" t="s">
        <v>1487</v>
      </c>
      <c r="S174" s="258">
        <v>725339123</v>
      </c>
      <c r="T174" s="274" t="s">
        <v>1209</v>
      </c>
    </row>
    <row r="175" spans="2:20" x14ac:dyDescent="0.25">
      <c r="B175" s="10">
        <v>174</v>
      </c>
      <c r="C175" s="83" t="s">
        <v>190</v>
      </c>
      <c r="D175" s="13" t="s">
        <v>334</v>
      </c>
      <c r="E175" s="98" t="s">
        <v>311</v>
      </c>
      <c r="F175" s="84">
        <v>16.006</v>
      </c>
      <c r="G175" s="84" t="s">
        <v>335</v>
      </c>
      <c r="H175" s="99">
        <v>2021</v>
      </c>
      <c r="I175" s="44">
        <v>44470</v>
      </c>
      <c r="J175" s="44" t="s">
        <v>49</v>
      </c>
      <c r="K175" s="99">
        <v>2021</v>
      </c>
      <c r="L175" s="35" t="s">
        <v>176</v>
      </c>
      <c r="M175" s="37">
        <v>44491</v>
      </c>
      <c r="N175" s="37">
        <f t="shared" si="6"/>
        <v>46317</v>
      </c>
      <c r="O175" s="37" t="s">
        <v>1567</v>
      </c>
      <c r="P175" s="37">
        <v>44491</v>
      </c>
      <c r="Q175" s="37">
        <f t="shared" si="9"/>
        <v>46317</v>
      </c>
      <c r="R175" s="243" t="s">
        <v>1507</v>
      </c>
      <c r="S175" s="259">
        <v>605523102</v>
      </c>
      <c r="T175" s="296" t="s">
        <v>1055</v>
      </c>
    </row>
    <row r="176" spans="2:20" x14ac:dyDescent="0.25">
      <c r="B176" s="10">
        <v>175</v>
      </c>
      <c r="C176" s="83" t="s">
        <v>190</v>
      </c>
      <c r="D176" s="30" t="s">
        <v>314</v>
      </c>
      <c r="E176" s="98" t="s">
        <v>311</v>
      </c>
      <c r="F176" s="84">
        <v>10.504</v>
      </c>
      <c r="G176" s="84" t="s">
        <v>315</v>
      </c>
      <c r="H176" s="99">
        <v>2021</v>
      </c>
      <c r="I176" s="44">
        <v>44470</v>
      </c>
      <c r="J176" s="44" t="s">
        <v>42</v>
      </c>
      <c r="K176" s="99">
        <v>2021</v>
      </c>
      <c r="L176" s="35" t="s">
        <v>176</v>
      </c>
      <c r="M176" s="37">
        <v>44494</v>
      </c>
      <c r="N176" s="37">
        <f t="shared" si="6"/>
        <v>46320</v>
      </c>
      <c r="O176" s="37" t="s">
        <v>1568</v>
      </c>
      <c r="P176" s="37">
        <v>44495</v>
      </c>
      <c r="Q176" s="37">
        <f t="shared" si="9"/>
        <v>46321</v>
      </c>
      <c r="R176" s="243" t="s">
        <v>1507</v>
      </c>
      <c r="S176" s="259">
        <v>605523102</v>
      </c>
      <c r="T176" s="270" t="s">
        <v>1046</v>
      </c>
    </row>
    <row r="177" spans="2:20" x14ac:dyDescent="0.25">
      <c r="B177" s="10">
        <v>176</v>
      </c>
      <c r="C177" s="45" t="s">
        <v>190</v>
      </c>
      <c r="D177" s="22" t="s">
        <v>786</v>
      </c>
      <c r="E177" s="46" t="s">
        <v>772</v>
      </c>
      <c r="F177" s="47">
        <v>31.678000000000001</v>
      </c>
      <c r="G177" s="47" t="s">
        <v>787</v>
      </c>
      <c r="H177" s="56">
        <v>2016</v>
      </c>
      <c r="I177" s="49">
        <v>44501</v>
      </c>
      <c r="J177" s="49" t="s">
        <v>124</v>
      </c>
      <c r="K177" s="56">
        <v>2016</v>
      </c>
      <c r="L177" s="49" t="s">
        <v>788</v>
      </c>
      <c r="M177" s="111">
        <v>44504</v>
      </c>
      <c r="N177" s="111">
        <f t="shared" si="6"/>
        <v>46330</v>
      </c>
      <c r="O177" s="27" t="str">
        <f>VLOOKUP(F177,'[1]PZ a UTZ'!$E$2:$H$335,3,FALSE)</f>
        <v>PZ 2423/16-E.49</v>
      </c>
      <c r="P177" s="27">
        <f>VLOOKUP(F177,'[1]PZ a UTZ'!$E$2:$H$335,4,FALSE)</f>
        <v>44463</v>
      </c>
      <c r="Q177" s="27">
        <f t="shared" si="9"/>
        <v>46289</v>
      </c>
      <c r="R177" s="242" t="s">
        <v>1492</v>
      </c>
      <c r="S177" s="258">
        <v>724214647</v>
      </c>
      <c r="T177" s="274" t="s">
        <v>1231</v>
      </c>
    </row>
    <row r="178" spans="2:20" x14ac:dyDescent="0.25">
      <c r="B178" s="10">
        <v>177</v>
      </c>
      <c r="C178" s="45" t="s">
        <v>190</v>
      </c>
      <c r="D178" s="22" t="s">
        <v>789</v>
      </c>
      <c r="E178" s="46" t="s">
        <v>772</v>
      </c>
      <c r="F178" s="47">
        <v>33.305999999999997</v>
      </c>
      <c r="G178" s="47" t="s">
        <v>790</v>
      </c>
      <c r="H178" s="56">
        <v>2016</v>
      </c>
      <c r="I178" s="49">
        <v>44501</v>
      </c>
      <c r="J178" s="49" t="s">
        <v>124</v>
      </c>
      <c r="K178" s="56">
        <v>2016</v>
      </c>
      <c r="L178" s="49" t="s">
        <v>791</v>
      </c>
      <c r="M178" s="111">
        <v>44504</v>
      </c>
      <c r="N178" s="111">
        <f t="shared" si="6"/>
        <v>46330</v>
      </c>
      <c r="O178" s="27" t="str">
        <f>VLOOKUP(F178,'[1]PZ a UTZ'!$E$2:$H$335,3,FALSE)</f>
        <v>PZ 2424/16-E.49</v>
      </c>
      <c r="P178" s="27">
        <f>VLOOKUP(F178,'[1]PZ a UTZ'!$E$2:$H$335,4,FALSE)</f>
        <v>44463</v>
      </c>
      <c r="Q178" s="27">
        <f t="shared" si="9"/>
        <v>46289</v>
      </c>
      <c r="R178" s="242" t="s">
        <v>1492</v>
      </c>
      <c r="S178" s="258">
        <v>724214647</v>
      </c>
      <c r="T178" s="274" t="s">
        <v>1232</v>
      </c>
    </row>
    <row r="179" spans="2:20" x14ac:dyDescent="0.25">
      <c r="B179" s="10">
        <v>178</v>
      </c>
      <c r="C179" s="92" t="s">
        <v>190</v>
      </c>
      <c r="D179" s="22" t="s">
        <v>751</v>
      </c>
      <c r="E179" s="51" t="s">
        <v>92</v>
      </c>
      <c r="F179" s="47">
        <v>21.577000000000002</v>
      </c>
      <c r="G179" s="47" t="s">
        <v>752</v>
      </c>
      <c r="H179" s="56">
        <v>2001</v>
      </c>
      <c r="I179" s="49">
        <v>44501</v>
      </c>
      <c r="J179" s="49" t="s">
        <v>46</v>
      </c>
      <c r="K179" s="56">
        <v>2001</v>
      </c>
      <c r="L179" s="49" t="s">
        <v>753</v>
      </c>
      <c r="M179" s="27">
        <v>44508</v>
      </c>
      <c r="N179" s="27">
        <f t="shared" si="6"/>
        <v>46334</v>
      </c>
      <c r="O179" s="27" t="str">
        <f>VLOOKUP(F179,'[1]PZ a UTZ'!$E$2:$H$335,3,FALSE)</f>
        <v>PZ 2426/01-E.49</v>
      </c>
      <c r="P179" s="27">
        <f>VLOOKUP(F179,'[1]PZ a UTZ'!$E$2:$H$335,4,FALSE)</f>
        <v>44510</v>
      </c>
      <c r="Q179" s="27">
        <f t="shared" si="9"/>
        <v>46336</v>
      </c>
      <c r="R179" s="242" t="s">
        <v>1502</v>
      </c>
      <c r="S179" s="258">
        <v>724862388</v>
      </c>
      <c r="T179" s="274" t="s">
        <v>1221</v>
      </c>
    </row>
    <row r="180" spans="2:20" x14ac:dyDescent="0.25">
      <c r="B180" s="10">
        <v>179</v>
      </c>
      <c r="C180" s="71" t="s">
        <v>190</v>
      </c>
      <c r="D180" s="13" t="s">
        <v>540</v>
      </c>
      <c r="E180" s="72" t="s">
        <v>94</v>
      </c>
      <c r="F180" s="73">
        <v>79.834000000000003</v>
      </c>
      <c r="G180" s="73" t="s">
        <v>541</v>
      </c>
      <c r="H180" s="89">
        <v>2021</v>
      </c>
      <c r="I180" s="35">
        <v>44501</v>
      </c>
      <c r="J180" s="35" t="s">
        <v>542</v>
      </c>
      <c r="K180" s="85">
        <v>2021</v>
      </c>
      <c r="L180" s="35" t="s">
        <v>176</v>
      </c>
      <c r="M180" s="37">
        <v>44509</v>
      </c>
      <c r="N180" s="37">
        <f t="shared" si="6"/>
        <v>46335</v>
      </c>
      <c r="O180" s="37" t="str">
        <f>VLOOKUP(F180,'[1]PZ a UTZ'!$E$2:$H$335,3,FALSE)</f>
        <v>PZ 0735/22-E.49</v>
      </c>
      <c r="P180" s="37">
        <f>VLOOKUP(F180,'[1]PZ a UTZ'!$E$2:$H$335,4,FALSE)</f>
        <v>2022</v>
      </c>
      <c r="Q180" s="37">
        <f t="shared" si="9"/>
        <v>3848</v>
      </c>
      <c r="R180" s="243" t="s">
        <v>1494</v>
      </c>
      <c r="S180" s="259">
        <v>602117762</v>
      </c>
      <c r="T180" s="281" t="s">
        <v>1135</v>
      </c>
    </row>
    <row r="181" spans="2:20" x14ac:dyDescent="0.25">
      <c r="B181" s="10">
        <v>180</v>
      </c>
      <c r="C181" s="53" t="s">
        <v>14</v>
      </c>
      <c r="D181" s="22" t="s">
        <v>1315</v>
      </c>
      <c r="E181" s="46" t="s">
        <v>15</v>
      </c>
      <c r="F181" s="54">
        <v>2.4809999999999999</v>
      </c>
      <c r="G181" s="47" t="s">
        <v>1348</v>
      </c>
      <c r="H181" s="48">
        <v>2016</v>
      </c>
      <c r="I181" s="26">
        <v>44501</v>
      </c>
      <c r="J181" s="26" t="s">
        <v>17</v>
      </c>
      <c r="K181" s="86">
        <v>2016</v>
      </c>
      <c r="L181" s="26" t="s">
        <v>18</v>
      </c>
      <c r="M181" s="27">
        <v>44523</v>
      </c>
      <c r="N181" s="27">
        <f t="shared" si="6"/>
        <v>46349</v>
      </c>
      <c r="O181" s="27" t="str">
        <f>VLOOKUP(D181,'[1]PZ a UTZ'!$C$341:$H$464,5,FALSE)</f>
        <v>PZ 4316/97-E.49</v>
      </c>
      <c r="P181" s="27">
        <f>VLOOKUP(D181,'[1]PZ a UTZ'!$C$341:$H$464,6,FALSE)</f>
        <v>44246</v>
      </c>
      <c r="Q181" s="27">
        <f t="shared" si="9"/>
        <v>46072</v>
      </c>
      <c r="R181" s="242" t="s">
        <v>1525</v>
      </c>
      <c r="S181" s="258">
        <v>725339121</v>
      </c>
      <c r="T181" s="276" t="s">
        <v>1650</v>
      </c>
    </row>
    <row r="182" spans="2:20" x14ac:dyDescent="0.25">
      <c r="B182" s="10">
        <v>181</v>
      </c>
      <c r="C182" s="53" t="s">
        <v>14</v>
      </c>
      <c r="D182" s="22" t="s">
        <v>1315</v>
      </c>
      <c r="E182" s="46" t="s">
        <v>15</v>
      </c>
      <c r="F182" s="54">
        <v>2.4809999999999999</v>
      </c>
      <c r="G182" s="47" t="s">
        <v>1349</v>
      </c>
      <c r="H182" s="48">
        <v>2016</v>
      </c>
      <c r="I182" s="26">
        <v>44501</v>
      </c>
      <c r="J182" s="26" t="s">
        <v>17</v>
      </c>
      <c r="K182" s="86">
        <v>2016</v>
      </c>
      <c r="L182" s="26" t="s">
        <v>19</v>
      </c>
      <c r="M182" s="27">
        <v>44523</v>
      </c>
      <c r="N182" s="27">
        <f t="shared" si="6"/>
        <v>46349</v>
      </c>
      <c r="O182" s="27" t="str">
        <f>VLOOKUP(D182,'[1]PZ a UTZ'!$C$341:$H$464,5,FALSE)</f>
        <v>PZ 4316/97-E.49</v>
      </c>
      <c r="P182" s="27">
        <f>VLOOKUP(D182,'[1]PZ a UTZ'!$C$341:$H$464,6,FALSE)</f>
        <v>44246</v>
      </c>
      <c r="Q182" s="27">
        <f t="shared" si="9"/>
        <v>46072</v>
      </c>
      <c r="R182" s="242" t="s">
        <v>1525</v>
      </c>
      <c r="S182" s="258">
        <v>725339121</v>
      </c>
      <c r="T182" s="276" t="s">
        <v>1650</v>
      </c>
    </row>
    <row r="183" spans="2:20" x14ac:dyDescent="0.25">
      <c r="B183" s="10">
        <v>182</v>
      </c>
      <c r="C183" s="57" t="s">
        <v>885</v>
      </c>
      <c r="D183" s="58" t="s">
        <v>909</v>
      </c>
      <c r="E183" s="59" t="s">
        <v>15</v>
      </c>
      <c r="F183" s="60">
        <v>102.77</v>
      </c>
      <c r="G183" s="61" t="s">
        <v>1276</v>
      </c>
      <c r="H183" s="62">
        <v>2016</v>
      </c>
      <c r="I183" s="63">
        <v>44501</v>
      </c>
      <c r="J183" s="66" t="s">
        <v>17</v>
      </c>
      <c r="K183" s="70">
        <v>2016</v>
      </c>
      <c r="L183" s="66" t="s">
        <v>910</v>
      </c>
      <c r="M183" s="67">
        <v>44523</v>
      </c>
      <c r="N183" s="67">
        <f t="shared" si="6"/>
        <v>46349</v>
      </c>
      <c r="O183" s="209"/>
      <c r="P183" s="209"/>
      <c r="Q183" s="209"/>
      <c r="R183" s="245" t="s">
        <v>1525</v>
      </c>
      <c r="S183" s="261">
        <v>725339121</v>
      </c>
      <c r="T183" s="284" t="s">
        <v>1650</v>
      </c>
    </row>
    <row r="184" spans="2:20" x14ac:dyDescent="0.25">
      <c r="B184" s="10">
        <v>183</v>
      </c>
      <c r="C184" s="57" t="s">
        <v>885</v>
      </c>
      <c r="D184" s="58" t="s">
        <v>911</v>
      </c>
      <c r="E184" s="59" t="s">
        <v>15</v>
      </c>
      <c r="F184" s="60">
        <v>102.77</v>
      </c>
      <c r="G184" s="61" t="s">
        <v>1276</v>
      </c>
      <c r="H184" s="62">
        <v>2016</v>
      </c>
      <c r="I184" s="63">
        <v>44501</v>
      </c>
      <c r="J184" s="66" t="s">
        <v>17</v>
      </c>
      <c r="K184" s="70">
        <v>2016</v>
      </c>
      <c r="L184" s="66" t="s">
        <v>912</v>
      </c>
      <c r="M184" s="67">
        <v>44523</v>
      </c>
      <c r="N184" s="67">
        <f t="shared" si="6"/>
        <v>46349</v>
      </c>
      <c r="O184" s="209"/>
      <c r="P184" s="209"/>
      <c r="Q184" s="209"/>
      <c r="R184" s="245" t="s">
        <v>1525</v>
      </c>
      <c r="S184" s="261">
        <v>725339121</v>
      </c>
      <c r="T184" s="284" t="s">
        <v>1650</v>
      </c>
    </row>
    <row r="185" spans="2:20" x14ac:dyDescent="0.25">
      <c r="B185" s="10">
        <v>184</v>
      </c>
      <c r="C185" s="53" t="s">
        <v>14</v>
      </c>
      <c r="D185" s="22" t="s">
        <v>1350</v>
      </c>
      <c r="E185" s="46" t="s">
        <v>15</v>
      </c>
      <c r="F185" s="54">
        <v>102.77</v>
      </c>
      <c r="G185" s="47"/>
      <c r="H185" s="48">
        <v>2016</v>
      </c>
      <c r="I185" s="26">
        <v>44501</v>
      </c>
      <c r="J185" s="26" t="s">
        <v>17</v>
      </c>
      <c r="K185" s="86">
        <v>2016</v>
      </c>
      <c r="L185" s="26" t="s">
        <v>24</v>
      </c>
      <c r="M185" s="27">
        <v>44525</v>
      </c>
      <c r="N185" s="27">
        <f t="shared" si="6"/>
        <v>46351</v>
      </c>
      <c r="O185" s="192"/>
      <c r="P185" s="192"/>
      <c r="Q185" s="192"/>
      <c r="R185" s="242" t="s">
        <v>1511</v>
      </c>
      <c r="S185" s="258">
        <v>603418035</v>
      </c>
      <c r="T185" s="276" t="s">
        <v>1650</v>
      </c>
    </row>
    <row r="186" spans="2:20" x14ac:dyDescent="0.25">
      <c r="B186" s="10">
        <v>185</v>
      </c>
      <c r="C186" s="57" t="s">
        <v>885</v>
      </c>
      <c r="D186" s="58" t="s">
        <v>1350</v>
      </c>
      <c r="E186" s="59" t="s">
        <v>15</v>
      </c>
      <c r="F186" s="60">
        <v>102.77</v>
      </c>
      <c r="G186" s="112" t="s">
        <v>1276</v>
      </c>
      <c r="H186" s="62">
        <v>2016</v>
      </c>
      <c r="I186" s="64">
        <v>44501</v>
      </c>
      <c r="J186" s="64" t="s">
        <v>17</v>
      </c>
      <c r="K186" s="113">
        <v>2016</v>
      </c>
      <c r="L186" s="96" t="s">
        <v>24</v>
      </c>
      <c r="M186" s="97">
        <v>44525</v>
      </c>
      <c r="N186" s="97">
        <f t="shared" si="6"/>
        <v>46351</v>
      </c>
      <c r="O186" s="209"/>
      <c r="P186" s="209"/>
      <c r="Q186" s="209"/>
      <c r="R186" s="245" t="s">
        <v>1511</v>
      </c>
      <c r="S186" s="261">
        <v>603418035</v>
      </c>
      <c r="T186" s="284" t="s">
        <v>1650</v>
      </c>
    </row>
    <row r="187" spans="2:20" x14ac:dyDescent="0.25">
      <c r="B187" s="10">
        <v>186</v>
      </c>
      <c r="C187" s="45" t="s">
        <v>190</v>
      </c>
      <c r="D187" s="22" t="s">
        <v>857</v>
      </c>
      <c r="E187" s="46" t="s">
        <v>15</v>
      </c>
      <c r="F187" s="47">
        <v>102.85</v>
      </c>
      <c r="G187" s="24" t="s">
        <v>1351</v>
      </c>
      <c r="H187" s="56">
        <v>2016</v>
      </c>
      <c r="I187" s="49">
        <v>44501</v>
      </c>
      <c r="J187" s="26" t="s">
        <v>17</v>
      </c>
      <c r="K187" s="25">
        <v>2017</v>
      </c>
      <c r="L187" s="49" t="s">
        <v>858</v>
      </c>
      <c r="M187" s="111">
        <v>44530</v>
      </c>
      <c r="N187" s="111">
        <f t="shared" si="6"/>
        <v>46356</v>
      </c>
      <c r="O187" s="209"/>
      <c r="P187" s="209"/>
      <c r="Q187" s="209"/>
      <c r="R187" s="242" t="s">
        <v>1507</v>
      </c>
      <c r="S187" s="258">
        <v>605523102</v>
      </c>
      <c r="T187" s="276" t="s">
        <v>1650</v>
      </c>
    </row>
    <row r="188" spans="2:20" x14ac:dyDescent="0.25">
      <c r="B188" s="10">
        <v>187</v>
      </c>
      <c r="C188" s="45" t="s">
        <v>190</v>
      </c>
      <c r="D188" s="22" t="s">
        <v>859</v>
      </c>
      <c r="E188" s="46" t="s">
        <v>15</v>
      </c>
      <c r="F188" s="47">
        <v>103.092</v>
      </c>
      <c r="G188" s="47" t="s">
        <v>1352</v>
      </c>
      <c r="H188" s="56">
        <v>2016</v>
      </c>
      <c r="I188" s="49">
        <v>44501</v>
      </c>
      <c r="J188" s="26" t="s">
        <v>17</v>
      </c>
      <c r="K188" s="25">
        <v>2017</v>
      </c>
      <c r="L188" s="49" t="s">
        <v>860</v>
      </c>
      <c r="M188" s="111">
        <v>44530</v>
      </c>
      <c r="N188" s="111">
        <f t="shared" si="6"/>
        <v>46356</v>
      </c>
      <c r="O188" s="209"/>
      <c r="P188" s="209"/>
      <c r="Q188" s="209"/>
      <c r="R188" s="242" t="s">
        <v>1507</v>
      </c>
      <c r="S188" s="258">
        <v>605523102</v>
      </c>
      <c r="T188" s="276" t="s">
        <v>1650</v>
      </c>
    </row>
    <row r="189" spans="2:20" x14ac:dyDescent="0.25">
      <c r="B189" s="10">
        <v>188</v>
      </c>
      <c r="C189" s="83" t="s">
        <v>190</v>
      </c>
      <c r="D189" s="30" t="s">
        <v>328</v>
      </c>
      <c r="E189" s="98" t="s">
        <v>311</v>
      </c>
      <c r="F189" s="84">
        <v>15.054</v>
      </c>
      <c r="G189" s="84" t="s">
        <v>329</v>
      </c>
      <c r="H189" s="99">
        <v>2021</v>
      </c>
      <c r="I189" s="35">
        <v>44531</v>
      </c>
      <c r="J189" s="35" t="s">
        <v>49</v>
      </c>
      <c r="K189" s="85">
        <v>2021</v>
      </c>
      <c r="L189" s="35" t="s">
        <v>176</v>
      </c>
      <c r="M189" s="37">
        <v>44533</v>
      </c>
      <c r="N189" s="37">
        <f t="shared" si="6"/>
        <v>46359</v>
      </c>
      <c r="O189" s="37" t="s">
        <v>1569</v>
      </c>
      <c r="P189" s="37">
        <v>44544</v>
      </c>
      <c r="Q189" s="37">
        <f t="shared" ref="Q189:Q215" si="10">EDATE(P189,60)</f>
        <v>46370</v>
      </c>
      <c r="R189" s="243" t="s">
        <v>1507</v>
      </c>
      <c r="S189" s="259">
        <v>605523102</v>
      </c>
      <c r="T189" s="270" t="s">
        <v>1053</v>
      </c>
    </row>
    <row r="190" spans="2:20" x14ac:dyDescent="0.25">
      <c r="B190" s="10">
        <v>189</v>
      </c>
      <c r="C190" s="81" t="s">
        <v>190</v>
      </c>
      <c r="D190" s="22" t="s">
        <v>1353</v>
      </c>
      <c r="E190" s="23" t="s">
        <v>39</v>
      </c>
      <c r="F190" s="162">
        <v>348.39800000000002</v>
      </c>
      <c r="G190" s="24" t="s">
        <v>191</v>
      </c>
      <c r="H190" s="25">
        <v>2017</v>
      </c>
      <c r="I190" s="26">
        <v>44562</v>
      </c>
      <c r="J190" s="26" t="s">
        <v>17</v>
      </c>
      <c r="K190" s="25">
        <v>2017</v>
      </c>
      <c r="L190" s="26" t="s">
        <v>192</v>
      </c>
      <c r="M190" s="27">
        <v>44575</v>
      </c>
      <c r="N190" s="27">
        <f t="shared" si="6"/>
        <v>46401</v>
      </c>
      <c r="O190" s="27" t="str">
        <f>VLOOKUP(F190,'[1]PZ a UTZ'!$E$2:$H$335,3,FALSE)</f>
        <v>PZ 1715/20-E.49</v>
      </c>
      <c r="P190" s="27">
        <f>VLOOKUP(F190,'[1]PZ a UTZ'!$E$2:$H$335,4,FALSE)</f>
        <v>44581</v>
      </c>
      <c r="Q190" s="27">
        <f t="shared" si="10"/>
        <v>46407</v>
      </c>
      <c r="R190" s="242" t="s">
        <v>1511</v>
      </c>
      <c r="S190" s="258">
        <v>603418035</v>
      </c>
      <c r="T190" s="268" t="s">
        <v>1004</v>
      </c>
    </row>
    <row r="191" spans="2:20" x14ac:dyDescent="0.25">
      <c r="B191" s="10">
        <v>190</v>
      </c>
      <c r="C191" s="45" t="s">
        <v>190</v>
      </c>
      <c r="D191" s="22" t="s">
        <v>590</v>
      </c>
      <c r="E191" s="46" t="s">
        <v>94</v>
      </c>
      <c r="F191" s="47">
        <v>54.195999999999998</v>
      </c>
      <c r="G191" s="47" t="s">
        <v>591</v>
      </c>
      <c r="H191" s="48">
        <v>1995</v>
      </c>
      <c r="I191" s="26">
        <v>44593</v>
      </c>
      <c r="J191" s="49" t="s">
        <v>42</v>
      </c>
      <c r="K191" s="86">
        <v>1995</v>
      </c>
      <c r="L191" s="163" t="s">
        <v>592</v>
      </c>
      <c r="M191" s="27">
        <v>44596</v>
      </c>
      <c r="N191" s="27">
        <f t="shared" si="6"/>
        <v>46422</v>
      </c>
      <c r="O191" s="27" t="str">
        <f>VLOOKUP(F191,'[1]PZ a UTZ'!$E$2:$H$335,3,FALSE)</f>
        <v>PZ 1329/95-E.49</v>
      </c>
      <c r="P191" s="27">
        <f>VLOOKUP(F191,'[1]PZ a UTZ'!$E$2:$H$335,4,FALSE)</f>
        <v>43732</v>
      </c>
      <c r="Q191" s="27">
        <f t="shared" si="10"/>
        <v>45559</v>
      </c>
      <c r="R191" s="242" t="s">
        <v>1510</v>
      </c>
      <c r="S191" s="258">
        <v>602282288</v>
      </c>
      <c r="T191" s="274" t="s">
        <v>1152</v>
      </c>
    </row>
    <row r="192" spans="2:20" x14ac:dyDescent="0.25">
      <c r="B192" s="10">
        <v>191</v>
      </c>
      <c r="C192" s="164" t="s">
        <v>190</v>
      </c>
      <c r="D192" s="30" t="s">
        <v>410</v>
      </c>
      <c r="E192" s="165" t="s">
        <v>25</v>
      </c>
      <c r="F192" s="166">
        <v>150.196</v>
      </c>
      <c r="G192" s="166" t="s">
        <v>411</v>
      </c>
      <c r="H192" s="167">
        <v>2022</v>
      </c>
      <c r="I192" s="168">
        <v>44593</v>
      </c>
      <c r="J192" s="44" t="s">
        <v>42</v>
      </c>
      <c r="K192" s="169">
        <v>2022</v>
      </c>
      <c r="L192" s="168" t="s">
        <v>412</v>
      </c>
      <c r="M192" s="37">
        <v>44601</v>
      </c>
      <c r="N192" s="37">
        <f t="shared" si="6"/>
        <v>46427</v>
      </c>
      <c r="O192" s="37" t="str">
        <f>VLOOKUP(F192,'[1]PZ a UTZ'!$E$2:$H$335,3,FALSE)</f>
        <v>PZ 2827/22-E.49</v>
      </c>
      <c r="P192" s="37">
        <f>VLOOKUP(F192,'[1]PZ a UTZ'!$E$2:$H$335,4,FALSE)</f>
        <v>44823</v>
      </c>
      <c r="Q192" s="37">
        <f t="shared" si="10"/>
        <v>46649</v>
      </c>
      <c r="R192" s="243" t="s">
        <v>1493</v>
      </c>
      <c r="S192" s="259">
        <v>602668264</v>
      </c>
      <c r="T192" s="297" t="s">
        <v>1084</v>
      </c>
    </row>
    <row r="193" spans="2:20" x14ac:dyDescent="0.25">
      <c r="B193" s="10">
        <v>192</v>
      </c>
      <c r="C193" s="81" t="s">
        <v>357</v>
      </c>
      <c r="D193" s="28" t="s">
        <v>593</v>
      </c>
      <c r="E193" s="46" t="s">
        <v>94</v>
      </c>
      <c r="F193" s="47">
        <v>53.802999999999997</v>
      </c>
      <c r="G193" s="47" t="s">
        <v>594</v>
      </c>
      <c r="H193" s="48">
        <v>1995</v>
      </c>
      <c r="I193" s="49">
        <v>44593</v>
      </c>
      <c r="J193" s="49" t="s">
        <v>42</v>
      </c>
      <c r="K193" s="86">
        <v>1995</v>
      </c>
      <c r="L193" s="49" t="s">
        <v>595</v>
      </c>
      <c r="M193" s="27">
        <v>44602</v>
      </c>
      <c r="N193" s="27">
        <f t="shared" si="6"/>
        <v>46428</v>
      </c>
      <c r="O193" s="27" t="str">
        <f>VLOOKUP(F193,'[1]PZ a UTZ'!$E$2:$H$335,3,FALSE)</f>
        <v>PZ 1330/95-E.49</v>
      </c>
      <c r="P193" s="27">
        <f>VLOOKUP(F193,'[1]PZ a UTZ'!$E$2:$H$335,4,FALSE)</f>
        <v>43732</v>
      </c>
      <c r="Q193" s="27">
        <f t="shared" si="10"/>
        <v>45559</v>
      </c>
      <c r="R193" s="242" t="s">
        <v>1510</v>
      </c>
      <c r="S193" s="258">
        <v>602282288</v>
      </c>
      <c r="T193" s="273" t="s">
        <v>1153</v>
      </c>
    </row>
    <row r="194" spans="2:20" x14ac:dyDescent="0.25">
      <c r="B194" s="10">
        <v>193</v>
      </c>
      <c r="C194" s="81" t="s">
        <v>190</v>
      </c>
      <c r="D194" s="22" t="s">
        <v>343</v>
      </c>
      <c r="E194" s="141" t="s">
        <v>311</v>
      </c>
      <c r="F194" s="24">
        <v>17.588000000000001</v>
      </c>
      <c r="G194" s="24" t="s">
        <v>344</v>
      </c>
      <c r="H194" s="25">
        <v>2017</v>
      </c>
      <c r="I194" s="26">
        <v>44562</v>
      </c>
      <c r="J194" s="163" t="s">
        <v>77</v>
      </c>
      <c r="K194" s="25">
        <v>2017</v>
      </c>
      <c r="L194" s="163" t="s">
        <v>345</v>
      </c>
      <c r="M194" s="27">
        <v>44621</v>
      </c>
      <c r="N194" s="27">
        <f t="shared" si="6"/>
        <v>46447</v>
      </c>
      <c r="O194" s="27" t="s">
        <v>1570</v>
      </c>
      <c r="P194" s="27">
        <v>44613</v>
      </c>
      <c r="Q194" s="27">
        <f t="shared" si="10"/>
        <v>46439</v>
      </c>
      <c r="R194" s="242" t="s">
        <v>1507</v>
      </c>
      <c r="S194" s="258">
        <v>605523102</v>
      </c>
      <c r="T194" s="268" t="s">
        <v>1058</v>
      </c>
    </row>
    <row r="195" spans="2:20" x14ac:dyDescent="0.25">
      <c r="B195" s="10">
        <v>194</v>
      </c>
      <c r="C195" s="81" t="s">
        <v>190</v>
      </c>
      <c r="D195" s="22" t="s">
        <v>343</v>
      </c>
      <c r="E195" s="141" t="s">
        <v>311</v>
      </c>
      <c r="F195" s="24">
        <v>17.904</v>
      </c>
      <c r="G195" s="24" t="s">
        <v>346</v>
      </c>
      <c r="H195" s="25">
        <v>2017</v>
      </c>
      <c r="I195" s="26">
        <v>44562</v>
      </c>
      <c r="J195" s="163" t="s">
        <v>77</v>
      </c>
      <c r="K195" s="25">
        <v>2017</v>
      </c>
      <c r="L195" s="163" t="s">
        <v>347</v>
      </c>
      <c r="M195" s="27">
        <v>44621</v>
      </c>
      <c r="N195" s="27">
        <f t="shared" ref="N195:N258" si="11">EDATE(M195,60)</f>
        <v>46447</v>
      </c>
      <c r="O195" s="27" t="s">
        <v>1571</v>
      </c>
      <c r="P195" s="27">
        <v>44613</v>
      </c>
      <c r="Q195" s="27">
        <f t="shared" si="10"/>
        <v>46439</v>
      </c>
      <c r="R195" s="242" t="s">
        <v>1572</v>
      </c>
      <c r="S195" s="258">
        <v>607232200</v>
      </c>
      <c r="T195" s="268" t="s">
        <v>1059</v>
      </c>
    </row>
    <row r="196" spans="2:20" x14ac:dyDescent="0.25">
      <c r="B196" s="10">
        <v>195</v>
      </c>
      <c r="C196" s="81" t="s">
        <v>190</v>
      </c>
      <c r="D196" s="22" t="s">
        <v>343</v>
      </c>
      <c r="E196" s="141" t="s">
        <v>311</v>
      </c>
      <c r="F196" s="24">
        <v>18.396999999999998</v>
      </c>
      <c r="G196" s="24" t="s">
        <v>348</v>
      </c>
      <c r="H196" s="25">
        <v>2017</v>
      </c>
      <c r="I196" s="26">
        <v>44562</v>
      </c>
      <c r="J196" s="163" t="s">
        <v>77</v>
      </c>
      <c r="K196" s="25">
        <v>2017</v>
      </c>
      <c r="L196" s="163" t="s">
        <v>349</v>
      </c>
      <c r="M196" s="27">
        <v>44621</v>
      </c>
      <c r="N196" s="27">
        <f t="shared" si="11"/>
        <v>46447</v>
      </c>
      <c r="O196" s="27" t="s">
        <v>1573</v>
      </c>
      <c r="P196" s="27">
        <v>44613</v>
      </c>
      <c r="Q196" s="27">
        <f t="shared" si="10"/>
        <v>46439</v>
      </c>
      <c r="R196" s="242" t="s">
        <v>1572</v>
      </c>
      <c r="S196" s="258">
        <v>607232200</v>
      </c>
      <c r="T196" s="268" t="s">
        <v>1060</v>
      </c>
    </row>
    <row r="197" spans="2:20" x14ac:dyDescent="0.25">
      <c r="B197" s="10">
        <v>196</v>
      </c>
      <c r="C197" s="81" t="s">
        <v>190</v>
      </c>
      <c r="D197" s="22" t="s">
        <v>330</v>
      </c>
      <c r="E197" s="141" t="s">
        <v>311</v>
      </c>
      <c r="F197" s="24">
        <v>15.555</v>
      </c>
      <c r="G197" s="24" t="s">
        <v>331</v>
      </c>
      <c r="H197" s="25">
        <v>2007</v>
      </c>
      <c r="I197" s="26">
        <v>44621</v>
      </c>
      <c r="J197" s="163" t="s">
        <v>332</v>
      </c>
      <c r="K197" s="25">
        <v>2007</v>
      </c>
      <c r="L197" s="163" t="s">
        <v>333</v>
      </c>
      <c r="M197" s="27">
        <v>44648</v>
      </c>
      <c r="N197" s="27">
        <f t="shared" si="11"/>
        <v>46474</v>
      </c>
      <c r="O197" s="27" t="s">
        <v>1574</v>
      </c>
      <c r="P197" s="27">
        <v>44648</v>
      </c>
      <c r="Q197" s="27">
        <f t="shared" si="10"/>
        <v>46474</v>
      </c>
      <c r="R197" s="242" t="s">
        <v>1507</v>
      </c>
      <c r="S197" s="258">
        <v>605523102</v>
      </c>
      <c r="T197" s="268" t="s">
        <v>1054</v>
      </c>
    </row>
    <row r="198" spans="2:20" x14ac:dyDescent="0.25">
      <c r="B198" s="10">
        <v>197</v>
      </c>
      <c r="C198" s="81" t="s">
        <v>190</v>
      </c>
      <c r="D198" s="22" t="s">
        <v>336</v>
      </c>
      <c r="E198" s="141" t="s">
        <v>311</v>
      </c>
      <c r="F198" s="24">
        <v>16.669</v>
      </c>
      <c r="G198" s="24" t="s">
        <v>337</v>
      </c>
      <c r="H198" s="25">
        <v>2007</v>
      </c>
      <c r="I198" s="26">
        <v>44621</v>
      </c>
      <c r="J198" s="163" t="s">
        <v>338</v>
      </c>
      <c r="K198" s="25">
        <v>2007</v>
      </c>
      <c r="L198" s="163" t="s">
        <v>339</v>
      </c>
      <c r="M198" s="27">
        <v>44648</v>
      </c>
      <c r="N198" s="27">
        <f t="shared" si="11"/>
        <v>46474</v>
      </c>
      <c r="O198" s="27" t="s">
        <v>1575</v>
      </c>
      <c r="P198" s="27">
        <v>44648</v>
      </c>
      <c r="Q198" s="27">
        <f t="shared" si="10"/>
        <v>46474</v>
      </c>
      <c r="R198" s="242" t="s">
        <v>1507</v>
      </c>
      <c r="S198" s="258">
        <v>605523102</v>
      </c>
      <c r="T198" s="268" t="s">
        <v>1056</v>
      </c>
    </row>
    <row r="199" spans="2:20" x14ac:dyDescent="0.25">
      <c r="B199" s="10">
        <v>198</v>
      </c>
      <c r="C199" s="81" t="s">
        <v>190</v>
      </c>
      <c r="D199" s="22" t="s">
        <v>336</v>
      </c>
      <c r="E199" s="141" t="s">
        <v>311</v>
      </c>
      <c r="F199" s="24">
        <v>16.948</v>
      </c>
      <c r="G199" s="24" t="s">
        <v>340</v>
      </c>
      <c r="H199" s="25">
        <v>2007</v>
      </c>
      <c r="I199" s="26">
        <v>44621</v>
      </c>
      <c r="J199" s="163" t="s">
        <v>341</v>
      </c>
      <c r="K199" s="25">
        <v>2007</v>
      </c>
      <c r="L199" s="163" t="s">
        <v>342</v>
      </c>
      <c r="M199" s="27">
        <v>44648</v>
      </c>
      <c r="N199" s="27">
        <f t="shared" si="11"/>
        <v>46474</v>
      </c>
      <c r="O199" s="27" t="s">
        <v>1576</v>
      </c>
      <c r="P199" s="27">
        <v>44648</v>
      </c>
      <c r="Q199" s="27">
        <f t="shared" si="10"/>
        <v>46474</v>
      </c>
      <c r="R199" s="242" t="s">
        <v>1507</v>
      </c>
      <c r="S199" s="258">
        <v>605523102</v>
      </c>
      <c r="T199" s="268" t="s">
        <v>1057</v>
      </c>
    </row>
    <row r="200" spans="2:20" x14ac:dyDescent="0.25">
      <c r="B200" s="10">
        <v>199</v>
      </c>
      <c r="C200" s="21" t="s">
        <v>190</v>
      </c>
      <c r="D200" s="22" t="s">
        <v>230</v>
      </c>
      <c r="E200" s="23" t="s">
        <v>39</v>
      </c>
      <c r="F200" s="170">
        <v>317.23200000000003</v>
      </c>
      <c r="G200" s="170" t="s">
        <v>231</v>
      </c>
      <c r="H200" s="25">
        <v>2007</v>
      </c>
      <c r="I200" s="26">
        <v>44652</v>
      </c>
      <c r="J200" s="49" t="s">
        <v>46</v>
      </c>
      <c r="K200" s="86">
        <v>2007</v>
      </c>
      <c r="L200" s="163" t="s">
        <v>232</v>
      </c>
      <c r="M200" s="27">
        <v>44662</v>
      </c>
      <c r="N200" s="27">
        <f t="shared" si="11"/>
        <v>46488</v>
      </c>
      <c r="O200" s="27" t="str">
        <f>VLOOKUP(F200,'[1]PZ a UTZ'!$E$2:$H$335,3,FALSE)</f>
        <v>PZ 1179/07-E.49</v>
      </c>
      <c r="P200" s="27">
        <f>VLOOKUP(F200,'[1]PZ a UTZ'!$E$2:$H$335,4,FALSE)</f>
        <v>44663</v>
      </c>
      <c r="Q200" s="27">
        <f t="shared" si="10"/>
        <v>46489</v>
      </c>
      <c r="R200" s="242" t="s">
        <v>1486</v>
      </c>
      <c r="S200" s="258">
        <v>724862431</v>
      </c>
      <c r="T200" s="268" t="s">
        <v>1017</v>
      </c>
    </row>
    <row r="201" spans="2:20" x14ac:dyDescent="0.25">
      <c r="B201" s="10">
        <v>200</v>
      </c>
      <c r="C201" s="21" t="s">
        <v>190</v>
      </c>
      <c r="D201" s="22" t="s">
        <v>227</v>
      </c>
      <c r="E201" s="23" t="s">
        <v>39</v>
      </c>
      <c r="F201" s="170">
        <v>317.76299999999998</v>
      </c>
      <c r="G201" s="170" t="s">
        <v>228</v>
      </c>
      <c r="H201" s="25">
        <v>2007</v>
      </c>
      <c r="I201" s="26">
        <v>44652</v>
      </c>
      <c r="J201" s="49" t="s">
        <v>46</v>
      </c>
      <c r="K201" s="86">
        <v>2007</v>
      </c>
      <c r="L201" s="163" t="s">
        <v>229</v>
      </c>
      <c r="M201" s="27">
        <v>44662</v>
      </c>
      <c r="N201" s="27">
        <f t="shared" si="11"/>
        <v>46488</v>
      </c>
      <c r="O201" s="27" t="str">
        <f>VLOOKUP(F201,'[1]PZ a UTZ'!$E$2:$H$335,3,FALSE)</f>
        <v>PZ 1180/07-E.49</v>
      </c>
      <c r="P201" s="27">
        <f>VLOOKUP(F201,'[1]PZ a UTZ'!$E$2:$H$335,4,FALSE)</f>
        <v>44663</v>
      </c>
      <c r="Q201" s="27">
        <f t="shared" si="10"/>
        <v>46489</v>
      </c>
      <c r="R201" s="242" t="s">
        <v>1486</v>
      </c>
      <c r="S201" s="258">
        <v>724862431</v>
      </c>
      <c r="T201" s="268" t="s">
        <v>1016</v>
      </c>
    </row>
    <row r="202" spans="2:20" x14ac:dyDescent="0.25">
      <c r="B202" s="10">
        <v>201</v>
      </c>
      <c r="C202" s="45" t="s">
        <v>190</v>
      </c>
      <c r="D202" s="22" t="s">
        <v>65</v>
      </c>
      <c r="E202" s="46" t="s">
        <v>63</v>
      </c>
      <c r="F202" s="47">
        <v>122.02200000000001</v>
      </c>
      <c r="G202" s="47" t="s">
        <v>427</v>
      </c>
      <c r="H202" s="95">
        <v>1984</v>
      </c>
      <c r="I202" s="26">
        <v>44652</v>
      </c>
      <c r="J202" s="49" t="s">
        <v>46</v>
      </c>
      <c r="K202" s="48">
        <v>2011</v>
      </c>
      <c r="L202" s="163" t="s">
        <v>428</v>
      </c>
      <c r="M202" s="27">
        <v>44663</v>
      </c>
      <c r="N202" s="27">
        <f t="shared" si="11"/>
        <v>46489</v>
      </c>
      <c r="O202" s="27" t="s">
        <v>1577</v>
      </c>
      <c r="P202" s="27">
        <v>44670</v>
      </c>
      <c r="Q202" s="27">
        <f t="shared" si="10"/>
        <v>46496</v>
      </c>
      <c r="R202" s="242" t="s">
        <v>1497</v>
      </c>
      <c r="S202" s="258">
        <v>724862430</v>
      </c>
      <c r="T202" s="274" t="s">
        <v>1090</v>
      </c>
    </row>
    <row r="203" spans="2:20" x14ac:dyDescent="0.25">
      <c r="B203" s="10">
        <v>202</v>
      </c>
      <c r="C203" s="45" t="s">
        <v>190</v>
      </c>
      <c r="D203" s="22" t="s">
        <v>65</v>
      </c>
      <c r="E203" s="46" t="s">
        <v>63</v>
      </c>
      <c r="F203" s="47">
        <v>122.72199999999999</v>
      </c>
      <c r="G203" s="47" t="s">
        <v>429</v>
      </c>
      <c r="H203" s="48">
        <v>2002</v>
      </c>
      <c r="I203" s="26">
        <v>44652</v>
      </c>
      <c r="J203" s="49" t="s">
        <v>46</v>
      </c>
      <c r="K203" s="48">
        <v>2002</v>
      </c>
      <c r="L203" s="163" t="s">
        <v>430</v>
      </c>
      <c r="M203" s="27">
        <v>44663</v>
      </c>
      <c r="N203" s="27">
        <f t="shared" si="11"/>
        <v>46489</v>
      </c>
      <c r="O203" s="27" t="s">
        <v>1578</v>
      </c>
      <c r="P203" s="27">
        <v>44812</v>
      </c>
      <c r="Q203" s="27">
        <f t="shared" si="10"/>
        <v>46638</v>
      </c>
      <c r="R203" s="242" t="s">
        <v>1497</v>
      </c>
      <c r="S203" s="258">
        <v>724862430</v>
      </c>
      <c r="T203" s="274" t="s">
        <v>1091</v>
      </c>
    </row>
    <row r="204" spans="2:20" ht="24" x14ac:dyDescent="0.25">
      <c r="B204" s="10">
        <v>203</v>
      </c>
      <c r="C204" s="50" t="s">
        <v>1354</v>
      </c>
      <c r="D204" s="28" t="s">
        <v>865</v>
      </c>
      <c r="E204" s="123" t="s">
        <v>39</v>
      </c>
      <c r="F204" s="171">
        <v>314.19099999999997</v>
      </c>
      <c r="G204" s="171" t="s">
        <v>866</v>
      </c>
      <c r="H204" s="172">
        <v>1988</v>
      </c>
      <c r="I204" s="26">
        <v>44652</v>
      </c>
      <c r="J204" s="26" t="s">
        <v>120</v>
      </c>
      <c r="K204" s="25">
        <v>1984</v>
      </c>
      <c r="L204" s="163" t="s">
        <v>867</v>
      </c>
      <c r="M204" s="27">
        <v>44663</v>
      </c>
      <c r="N204" s="27">
        <f t="shared" si="11"/>
        <v>46489</v>
      </c>
      <c r="O204" s="27" t="str">
        <f>VLOOKUP(F204,'[1]PZ a UTZ'!$E$2:$H$335,3,FALSE)</f>
        <v>PZ 4582/96-E.49</v>
      </c>
      <c r="P204" s="27">
        <f>VLOOKUP(F204,'[1]PZ a UTZ'!$E$2:$H$335,4,FALSE)</f>
        <v>44700</v>
      </c>
      <c r="Q204" s="27">
        <f t="shared" si="10"/>
        <v>46526</v>
      </c>
      <c r="R204" s="242" t="s">
        <v>1519</v>
      </c>
      <c r="S204" s="258">
        <v>602668277</v>
      </c>
      <c r="T204" s="289" t="s">
        <v>1257</v>
      </c>
    </row>
    <row r="205" spans="2:20" x14ac:dyDescent="0.25">
      <c r="B205" s="10">
        <v>204</v>
      </c>
      <c r="C205" s="173" t="s">
        <v>864</v>
      </c>
      <c r="D205" s="22" t="s">
        <v>868</v>
      </c>
      <c r="E205" s="123" t="s">
        <v>39</v>
      </c>
      <c r="F205" s="171">
        <v>313.375</v>
      </c>
      <c r="G205" s="171" t="s">
        <v>869</v>
      </c>
      <c r="H205" s="126">
        <v>1990</v>
      </c>
      <c r="I205" s="26">
        <v>44652</v>
      </c>
      <c r="J205" s="174" t="s">
        <v>16</v>
      </c>
      <c r="K205" s="131">
        <v>1990</v>
      </c>
      <c r="L205" s="163" t="s">
        <v>870</v>
      </c>
      <c r="M205" s="27">
        <v>44664</v>
      </c>
      <c r="N205" s="27">
        <f t="shared" si="11"/>
        <v>46490</v>
      </c>
      <c r="O205" s="27" t="str">
        <f>VLOOKUP(F205,'[1]PZ a UTZ'!$E$2:$H$335,3,FALSE)</f>
        <v>PZ 4581/96-E.49</v>
      </c>
      <c r="P205" s="27">
        <f>VLOOKUP(F205,'[1]PZ a UTZ'!$E$2:$H$335,4,FALSE)</f>
        <v>44903</v>
      </c>
      <c r="Q205" s="27">
        <f t="shared" si="10"/>
        <v>46729</v>
      </c>
      <c r="R205" s="242" t="s">
        <v>1484</v>
      </c>
      <c r="S205" s="258">
        <v>724450266</v>
      </c>
      <c r="T205" s="291" t="s">
        <v>1258</v>
      </c>
    </row>
    <row r="206" spans="2:20" x14ac:dyDescent="0.25">
      <c r="B206" s="10">
        <v>205</v>
      </c>
      <c r="C206" s="21" t="s">
        <v>190</v>
      </c>
      <c r="D206" s="22" t="s">
        <v>300</v>
      </c>
      <c r="E206" s="141" t="s">
        <v>157</v>
      </c>
      <c r="F206" s="24">
        <v>21.175999999999998</v>
      </c>
      <c r="G206" s="24" t="s">
        <v>301</v>
      </c>
      <c r="H206" s="25">
        <v>2012</v>
      </c>
      <c r="I206" s="26">
        <v>44652</v>
      </c>
      <c r="J206" s="26" t="s">
        <v>158</v>
      </c>
      <c r="K206" s="86">
        <v>2012</v>
      </c>
      <c r="L206" s="26" t="s">
        <v>302</v>
      </c>
      <c r="M206" s="27">
        <v>44676</v>
      </c>
      <c r="N206" s="27">
        <f t="shared" si="11"/>
        <v>46502</v>
      </c>
      <c r="O206" s="27" t="s">
        <v>1579</v>
      </c>
      <c r="P206" s="27">
        <v>44679</v>
      </c>
      <c r="Q206" s="27">
        <f t="shared" si="10"/>
        <v>46505</v>
      </c>
      <c r="R206" s="242" t="s">
        <v>1534</v>
      </c>
      <c r="S206" s="258">
        <v>725138711</v>
      </c>
      <c r="T206" s="268" t="s">
        <v>1041</v>
      </c>
    </row>
    <row r="207" spans="2:20" x14ac:dyDescent="0.25">
      <c r="B207" s="10">
        <v>206</v>
      </c>
      <c r="C207" s="21" t="s">
        <v>190</v>
      </c>
      <c r="D207" s="22" t="s">
        <v>303</v>
      </c>
      <c r="E207" s="141" t="s">
        <v>157</v>
      </c>
      <c r="F207" s="24">
        <v>22.388000000000002</v>
      </c>
      <c r="G207" s="24" t="s">
        <v>304</v>
      </c>
      <c r="H207" s="25">
        <v>2012</v>
      </c>
      <c r="I207" s="26">
        <v>44652</v>
      </c>
      <c r="J207" s="26" t="s">
        <v>158</v>
      </c>
      <c r="K207" s="86">
        <v>2012</v>
      </c>
      <c r="L207" s="26" t="s">
        <v>305</v>
      </c>
      <c r="M207" s="27">
        <v>44676</v>
      </c>
      <c r="N207" s="27">
        <f t="shared" si="11"/>
        <v>46502</v>
      </c>
      <c r="O207" s="27" t="s">
        <v>1580</v>
      </c>
      <c r="P207" s="27">
        <v>44679</v>
      </c>
      <c r="Q207" s="27">
        <f t="shared" si="10"/>
        <v>46505</v>
      </c>
      <c r="R207" s="242" t="s">
        <v>1486</v>
      </c>
      <c r="S207" s="258">
        <v>724862431</v>
      </c>
      <c r="T207" s="268" t="s">
        <v>1042</v>
      </c>
    </row>
    <row r="208" spans="2:20" x14ac:dyDescent="0.25">
      <c r="B208" s="10">
        <v>207</v>
      </c>
      <c r="C208" s="21" t="s">
        <v>190</v>
      </c>
      <c r="D208" s="28" t="s">
        <v>210</v>
      </c>
      <c r="E208" s="23" t="s">
        <v>39</v>
      </c>
      <c r="F208" s="24">
        <v>330.45400000000001</v>
      </c>
      <c r="G208" s="24" t="s">
        <v>211</v>
      </c>
      <c r="H208" s="95">
        <v>1974</v>
      </c>
      <c r="I208" s="26">
        <v>44682</v>
      </c>
      <c r="J208" s="26" t="s">
        <v>120</v>
      </c>
      <c r="K208" s="48">
        <v>2010</v>
      </c>
      <c r="L208" s="26" t="s">
        <v>212</v>
      </c>
      <c r="M208" s="27">
        <v>44684</v>
      </c>
      <c r="N208" s="27">
        <f t="shared" si="11"/>
        <v>46510</v>
      </c>
      <c r="O208" s="27" t="str">
        <f>VLOOKUP(F208,'[1]PZ a UTZ'!$E$2:$H$335,3,FALSE)</f>
        <v>PZ 1740/97-E.48</v>
      </c>
      <c r="P208" s="27">
        <f>VLOOKUP(F208,'[1]PZ a UTZ'!$E$2:$H$335,4,FALSE)</f>
        <v>44749</v>
      </c>
      <c r="Q208" s="27">
        <f t="shared" si="10"/>
        <v>46575</v>
      </c>
      <c r="R208" s="242" t="s">
        <v>1486</v>
      </c>
      <c r="S208" s="258">
        <v>724862431</v>
      </c>
      <c r="T208" s="269" t="s">
        <v>1009</v>
      </c>
    </row>
    <row r="209" spans="2:20" x14ac:dyDescent="0.25">
      <c r="B209" s="10">
        <v>208</v>
      </c>
      <c r="C209" s="21" t="s">
        <v>190</v>
      </c>
      <c r="D209" s="28" t="s">
        <v>207</v>
      </c>
      <c r="E209" s="23" t="s">
        <v>39</v>
      </c>
      <c r="F209" s="24">
        <v>331.01900000000001</v>
      </c>
      <c r="G209" s="24" t="s">
        <v>208</v>
      </c>
      <c r="H209" s="95">
        <v>1974</v>
      </c>
      <c r="I209" s="26">
        <v>44682</v>
      </c>
      <c r="J209" s="26" t="s">
        <v>120</v>
      </c>
      <c r="K209" s="48">
        <v>2010</v>
      </c>
      <c r="L209" s="26" t="s">
        <v>209</v>
      </c>
      <c r="M209" s="27">
        <v>44684</v>
      </c>
      <c r="N209" s="27">
        <f t="shared" si="11"/>
        <v>46510</v>
      </c>
      <c r="O209" s="27" t="str">
        <f>VLOOKUP(F209,'[1]PZ a UTZ'!$E$2:$H$335,3,FALSE)</f>
        <v>PZ 1739/97-E.48</v>
      </c>
      <c r="P209" s="27">
        <f>VLOOKUP(F209,'[1]PZ a UTZ'!$E$2:$H$335,4,FALSE)</f>
        <v>44749</v>
      </c>
      <c r="Q209" s="27">
        <f t="shared" si="10"/>
        <v>46575</v>
      </c>
      <c r="R209" s="242" t="s">
        <v>1486</v>
      </c>
      <c r="S209" s="258">
        <v>724862431</v>
      </c>
      <c r="T209" s="269" t="s">
        <v>1008</v>
      </c>
    </row>
    <row r="210" spans="2:20" x14ac:dyDescent="0.25">
      <c r="B210" s="10">
        <v>209</v>
      </c>
      <c r="C210" s="21" t="s">
        <v>190</v>
      </c>
      <c r="D210" s="22" t="s">
        <v>204</v>
      </c>
      <c r="E210" s="23" t="s">
        <v>39</v>
      </c>
      <c r="F210" s="24">
        <v>331.46899999999999</v>
      </c>
      <c r="G210" s="24" t="s">
        <v>205</v>
      </c>
      <c r="H210" s="95">
        <v>1974</v>
      </c>
      <c r="I210" s="26">
        <v>44682</v>
      </c>
      <c r="J210" s="26" t="s">
        <v>120</v>
      </c>
      <c r="K210" s="48">
        <v>2010</v>
      </c>
      <c r="L210" s="26" t="s">
        <v>206</v>
      </c>
      <c r="M210" s="27">
        <v>44684</v>
      </c>
      <c r="N210" s="27">
        <f t="shared" si="11"/>
        <v>46510</v>
      </c>
      <c r="O210" s="27" t="str">
        <f>VLOOKUP(F210,'[1]PZ a UTZ'!$E$2:$H$335,3,FALSE)</f>
        <v>PZ 1738/97-E.48</v>
      </c>
      <c r="P210" s="27">
        <f>VLOOKUP(F210,'[1]PZ a UTZ'!$E$2:$H$335,4,FALSE)</f>
        <v>44749</v>
      </c>
      <c r="Q210" s="27">
        <f t="shared" si="10"/>
        <v>46575</v>
      </c>
      <c r="R210" s="242" t="s">
        <v>1486</v>
      </c>
      <c r="S210" s="258">
        <v>724862431</v>
      </c>
      <c r="T210" s="268" t="s">
        <v>1007</v>
      </c>
    </row>
    <row r="211" spans="2:20" x14ac:dyDescent="0.25">
      <c r="B211" s="10">
        <v>210</v>
      </c>
      <c r="C211" s="71" t="s">
        <v>190</v>
      </c>
      <c r="D211" s="30" t="s">
        <v>743</v>
      </c>
      <c r="E211" s="94" t="s">
        <v>92</v>
      </c>
      <c r="F211" s="73">
        <v>15.552</v>
      </c>
      <c r="G211" s="73" t="s">
        <v>746</v>
      </c>
      <c r="H211" s="36">
        <v>2009</v>
      </c>
      <c r="I211" s="44">
        <v>43678</v>
      </c>
      <c r="J211" s="35" t="s">
        <v>294</v>
      </c>
      <c r="K211" s="89">
        <v>2022</v>
      </c>
      <c r="L211" s="35" t="s">
        <v>93</v>
      </c>
      <c r="M211" s="37">
        <v>44697</v>
      </c>
      <c r="N211" s="37">
        <f t="shared" si="11"/>
        <v>46523</v>
      </c>
      <c r="O211" s="37" t="str">
        <f>VLOOKUP(F211,'[1]PZ a UTZ'!$E$2:$H$335,3,FALSE)</f>
        <v>PZ 1939/09-E.49</v>
      </c>
      <c r="P211" s="37">
        <f>VLOOKUP(F211,'[1]PZ a UTZ'!$E$2:$H$335,4,FALSE)</f>
        <v>43647</v>
      </c>
      <c r="Q211" s="37">
        <f t="shared" si="10"/>
        <v>45474</v>
      </c>
      <c r="R211" s="243" t="s">
        <v>1502</v>
      </c>
      <c r="S211" s="259">
        <v>724862388</v>
      </c>
      <c r="T211" s="278" t="s">
        <v>1218</v>
      </c>
    </row>
    <row r="212" spans="2:20" x14ac:dyDescent="0.25">
      <c r="B212" s="10">
        <v>211</v>
      </c>
      <c r="C212" s="45" t="s">
        <v>190</v>
      </c>
      <c r="D212" s="22" t="s">
        <v>508</v>
      </c>
      <c r="E212" s="46" t="s">
        <v>63</v>
      </c>
      <c r="F212" s="47">
        <v>176.20599999999999</v>
      </c>
      <c r="G212" s="47" t="s">
        <v>509</v>
      </c>
      <c r="H212" s="86">
        <v>2007</v>
      </c>
      <c r="I212" s="26">
        <v>44682</v>
      </c>
      <c r="J212" s="49" t="s">
        <v>46</v>
      </c>
      <c r="K212" s="86">
        <v>2007</v>
      </c>
      <c r="L212" s="26" t="s">
        <v>510</v>
      </c>
      <c r="M212" s="27">
        <v>44697</v>
      </c>
      <c r="N212" s="27">
        <f t="shared" si="11"/>
        <v>46523</v>
      </c>
      <c r="O212" s="27" t="s">
        <v>1581</v>
      </c>
      <c r="P212" s="27">
        <v>44697</v>
      </c>
      <c r="Q212" s="27">
        <f t="shared" si="10"/>
        <v>46523</v>
      </c>
      <c r="R212" s="242" t="s">
        <v>1483</v>
      </c>
      <c r="S212" s="258">
        <v>724214678</v>
      </c>
      <c r="T212" s="274" t="s">
        <v>1123</v>
      </c>
    </row>
    <row r="213" spans="2:20" x14ac:dyDescent="0.25">
      <c r="B213" s="10">
        <v>212</v>
      </c>
      <c r="C213" s="45" t="s">
        <v>190</v>
      </c>
      <c r="D213" s="22" t="s">
        <v>508</v>
      </c>
      <c r="E213" s="46" t="s">
        <v>63</v>
      </c>
      <c r="F213" s="47">
        <v>177.52699999999999</v>
      </c>
      <c r="G213" s="47" t="s">
        <v>511</v>
      </c>
      <c r="H213" s="48">
        <v>2007</v>
      </c>
      <c r="I213" s="26">
        <v>44682</v>
      </c>
      <c r="J213" s="49" t="s">
        <v>46</v>
      </c>
      <c r="K213" s="86">
        <v>2007</v>
      </c>
      <c r="L213" s="26" t="s">
        <v>512</v>
      </c>
      <c r="M213" s="27">
        <v>44697</v>
      </c>
      <c r="N213" s="27">
        <f t="shared" si="11"/>
        <v>46523</v>
      </c>
      <c r="O213" s="27" t="s">
        <v>1582</v>
      </c>
      <c r="P213" s="27">
        <v>44697</v>
      </c>
      <c r="Q213" s="27">
        <f t="shared" si="10"/>
        <v>46523</v>
      </c>
      <c r="R213" s="242" t="s">
        <v>1505</v>
      </c>
      <c r="S213" s="258">
        <v>724644317</v>
      </c>
      <c r="T213" s="274" t="s">
        <v>1124</v>
      </c>
    </row>
    <row r="214" spans="2:20" x14ac:dyDescent="0.25">
      <c r="B214" s="10">
        <v>213</v>
      </c>
      <c r="C214" s="68" t="s">
        <v>164</v>
      </c>
      <c r="D214" s="22" t="s">
        <v>1355</v>
      </c>
      <c r="E214" s="46" t="s">
        <v>53</v>
      </c>
      <c r="F214" s="69">
        <v>71.762</v>
      </c>
      <c r="G214" s="24" t="s">
        <v>1334</v>
      </c>
      <c r="H214" s="95">
        <v>2012</v>
      </c>
      <c r="I214" s="26">
        <v>44682</v>
      </c>
      <c r="J214" s="26" t="s">
        <v>17</v>
      </c>
      <c r="K214" s="86">
        <v>2012</v>
      </c>
      <c r="L214" s="26" t="s">
        <v>169</v>
      </c>
      <c r="M214" s="27">
        <v>44701</v>
      </c>
      <c r="N214" s="27">
        <f t="shared" si="11"/>
        <v>46527</v>
      </c>
      <c r="O214" s="27" t="e">
        <f>VLOOKUP(D214,'[1]PZ a UTZ'!B475:G568,5,FALSE)</f>
        <v>#N/A</v>
      </c>
      <c r="P214" s="27" t="e">
        <f>VLOOKUP(D214,'[1]PZ a UTZ'!B475:G568,6,FALSE)</f>
        <v>#N/A</v>
      </c>
      <c r="Q214" s="27" t="e">
        <f t="shared" si="10"/>
        <v>#N/A</v>
      </c>
      <c r="R214" s="242" t="s">
        <v>1542</v>
      </c>
      <c r="S214" s="258">
        <v>702062264</v>
      </c>
      <c r="T214" s="280" t="s">
        <v>985</v>
      </c>
    </row>
    <row r="215" spans="2:20" x14ac:dyDescent="0.25">
      <c r="B215" s="10">
        <v>214</v>
      </c>
      <c r="C215" s="53" t="s">
        <v>14</v>
      </c>
      <c r="D215" s="22" t="s">
        <v>1356</v>
      </c>
      <c r="E215" s="46" t="s">
        <v>53</v>
      </c>
      <c r="F215" s="54">
        <v>68.319000000000003</v>
      </c>
      <c r="G215" s="47" t="s">
        <v>1357</v>
      </c>
      <c r="H215" s="48">
        <v>2012</v>
      </c>
      <c r="I215" s="26">
        <v>44682</v>
      </c>
      <c r="J215" s="26" t="s">
        <v>17</v>
      </c>
      <c r="K215" s="86">
        <v>2012</v>
      </c>
      <c r="L215" s="26" t="s">
        <v>61</v>
      </c>
      <c r="M215" s="27">
        <v>44701</v>
      </c>
      <c r="N215" s="27">
        <f t="shared" si="11"/>
        <v>46527</v>
      </c>
      <c r="O215" s="27" t="str">
        <f>VLOOKUP(D215,'[1]PZ a UTZ'!$C$341:$H$464,5,FALSE)</f>
        <v>PZ 705/13-E.49</v>
      </c>
      <c r="P215" s="27">
        <f>VLOOKUP(D215,'[1]PZ a UTZ'!$C$341:$H$464,6,FALSE)</f>
        <v>44701</v>
      </c>
      <c r="Q215" s="27">
        <f t="shared" si="10"/>
        <v>46527</v>
      </c>
      <c r="R215" s="242" t="s">
        <v>1536</v>
      </c>
      <c r="S215" s="258">
        <v>702062263</v>
      </c>
      <c r="T215" s="274" t="s">
        <v>938</v>
      </c>
    </row>
    <row r="216" spans="2:20" x14ac:dyDescent="0.25">
      <c r="B216" s="10">
        <v>215</v>
      </c>
      <c r="C216" s="57" t="s">
        <v>885</v>
      </c>
      <c r="D216" s="58" t="s">
        <v>60</v>
      </c>
      <c r="E216" s="59" t="s">
        <v>53</v>
      </c>
      <c r="F216" s="60">
        <v>68.319000000000003</v>
      </c>
      <c r="G216" s="112" t="s">
        <v>1276</v>
      </c>
      <c r="H216" s="62">
        <v>2012</v>
      </c>
      <c r="I216" s="66">
        <v>44682</v>
      </c>
      <c r="J216" s="66" t="s">
        <v>17</v>
      </c>
      <c r="K216" s="70">
        <v>2012</v>
      </c>
      <c r="L216" s="175" t="s">
        <v>61</v>
      </c>
      <c r="M216" s="97">
        <v>44701</v>
      </c>
      <c r="N216" s="97">
        <f t="shared" si="11"/>
        <v>46527</v>
      </c>
      <c r="O216" s="209"/>
      <c r="P216" s="209"/>
      <c r="Q216" s="209"/>
      <c r="R216" s="245" t="s">
        <v>1536</v>
      </c>
      <c r="S216" s="261">
        <v>702062263</v>
      </c>
      <c r="T216" s="275" t="s">
        <v>938</v>
      </c>
    </row>
    <row r="217" spans="2:20" x14ac:dyDescent="0.25">
      <c r="B217" s="10">
        <v>216</v>
      </c>
      <c r="C217" s="68" t="s">
        <v>164</v>
      </c>
      <c r="D217" s="22" t="s">
        <v>1358</v>
      </c>
      <c r="E217" s="46" t="s">
        <v>133</v>
      </c>
      <c r="F217" s="69">
        <v>355.48399999999998</v>
      </c>
      <c r="G217" s="24"/>
      <c r="H217" s="25">
        <v>2007</v>
      </c>
      <c r="I217" s="26">
        <v>44682</v>
      </c>
      <c r="J217" s="26" t="s">
        <v>17</v>
      </c>
      <c r="K217" s="86">
        <v>2007</v>
      </c>
      <c r="L217" s="26" t="s">
        <v>179</v>
      </c>
      <c r="M217" s="27">
        <v>44705</v>
      </c>
      <c r="N217" s="27">
        <f t="shared" si="11"/>
        <v>46531</v>
      </c>
      <c r="O217" s="27" t="e">
        <f>VLOOKUP(D217,'[1]PZ a UTZ'!B484:G577,5,FALSE)</f>
        <v>#N/A</v>
      </c>
      <c r="P217" s="27" t="e">
        <f>VLOOKUP(D217,'[1]PZ a UTZ'!B484:G577,6,FALSE)</f>
        <v>#N/A</v>
      </c>
      <c r="Q217" s="27" t="e">
        <f>EDATE(P217,60)</f>
        <v>#N/A</v>
      </c>
      <c r="R217" s="242" t="s">
        <v>1530</v>
      </c>
      <c r="S217" s="258">
        <v>725582092</v>
      </c>
      <c r="T217" s="280" t="s">
        <v>991</v>
      </c>
    </row>
    <row r="218" spans="2:20" x14ac:dyDescent="0.25">
      <c r="B218" s="10">
        <v>217</v>
      </c>
      <c r="C218" s="53" t="s">
        <v>14</v>
      </c>
      <c r="D218" s="22" t="s">
        <v>135</v>
      </c>
      <c r="E218" s="46" t="s">
        <v>133</v>
      </c>
      <c r="F218" s="54">
        <v>360.053</v>
      </c>
      <c r="G218" s="47"/>
      <c r="H218" s="48">
        <v>2007</v>
      </c>
      <c r="I218" s="26">
        <v>44682</v>
      </c>
      <c r="J218" s="26" t="s">
        <v>17</v>
      </c>
      <c r="K218" s="86">
        <v>2007</v>
      </c>
      <c r="L218" s="26" t="s">
        <v>136</v>
      </c>
      <c r="M218" s="27">
        <v>44705</v>
      </c>
      <c r="N218" s="27">
        <f t="shared" si="11"/>
        <v>46531</v>
      </c>
      <c r="O218" s="27" t="str">
        <f>VLOOKUP(D218,'[1]PZ a UTZ'!$C$341:$H$464,5,FALSE)</f>
        <v>PZ 1475/07-E.49</v>
      </c>
      <c r="P218" s="27">
        <f>VLOOKUP(D218,'[1]PZ a UTZ'!$C$341:$H$464,6,FALSE)</f>
        <v>44756</v>
      </c>
      <c r="Q218" s="27">
        <f>EDATE(P218,60)</f>
        <v>46582</v>
      </c>
      <c r="R218" s="242" t="s">
        <v>1530</v>
      </c>
      <c r="S218" s="258">
        <v>725582092</v>
      </c>
      <c r="T218" s="274" t="s">
        <v>969</v>
      </c>
    </row>
    <row r="219" spans="2:20" x14ac:dyDescent="0.25">
      <c r="B219" s="10">
        <v>218</v>
      </c>
      <c r="C219" s="29" t="s">
        <v>190</v>
      </c>
      <c r="D219" s="30" t="s">
        <v>303</v>
      </c>
      <c r="E219" s="98" t="s">
        <v>157</v>
      </c>
      <c r="F219" s="84">
        <v>23.486999999999998</v>
      </c>
      <c r="G219" s="84" t="s">
        <v>306</v>
      </c>
      <c r="H219" s="99">
        <v>2022</v>
      </c>
      <c r="I219" s="35">
        <v>44682</v>
      </c>
      <c r="J219" s="35" t="s">
        <v>307</v>
      </c>
      <c r="K219" s="85" t="s">
        <v>308</v>
      </c>
      <c r="L219" s="44" t="s">
        <v>93</v>
      </c>
      <c r="M219" s="37">
        <v>44708</v>
      </c>
      <c r="N219" s="37">
        <f t="shared" si="11"/>
        <v>46534</v>
      </c>
      <c r="O219" s="37" t="s">
        <v>1583</v>
      </c>
      <c r="P219" s="37">
        <v>44713</v>
      </c>
      <c r="Q219" s="37">
        <f>EDATE(P219,60)</f>
        <v>46539</v>
      </c>
      <c r="R219" s="243" t="s">
        <v>1584</v>
      </c>
      <c r="S219" s="259">
        <v>725582093</v>
      </c>
      <c r="T219" s="270" t="s">
        <v>1043</v>
      </c>
    </row>
    <row r="220" spans="2:20" x14ac:dyDescent="0.25">
      <c r="B220" s="10">
        <v>219</v>
      </c>
      <c r="C220" s="29" t="s">
        <v>190</v>
      </c>
      <c r="D220" s="30" t="s">
        <v>303</v>
      </c>
      <c r="E220" s="98" t="s">
        <v>157</v>
      </c>
      <c r="F220" s="84">
        <v>24.4</v>
      </c>
      <c r="G220" s="84" t="s">
        <v>309</v>
      </c>
      <c r="H220" s="99">
        <v>2022</v>
      </c>
      <c r="I220" s="35">
        <v>44682</v>
      </c>
      <c r="J220" s="35" t="s">
        <v>294</v>
      </c>
      <c r="K220" s="85">
        <v>2022</v>
      </c>
      <c r="L220" s="44" t="s">
        <v>93</v>
      </c>
      <c r="M220" s="37">
        <v>44708</v>
      </c>
      <c r="N220" s="37">
        <f t="shared" si="11"/>
        <v>46534</v>
      </c>
      <c r="O220" s="37" t="s">
        <v>1585</v>
      </c>
      <c r="P220" s="37">
        <v>44713</v>
      </c>
      <c r="Q220" s="37">
        <f>EDATE(P220,60)</f>
        <v>46539</v>
      </c>
      <c r="R220" s="243" t="s">
        <v>1584</v>
      </c>
      <c r="S220" s="259">
        <v>725582093</v>
      </c>
      <c r="T220" s="270" t="s">
        <v>1044</v>
      </c>
    </row>
    <row r="221" spans="2:20" x14ac:dyDescent="0.25">
      <c r="B221" s="10">
        <v>220</v>
      </c>
      <c r="C221" s="81" t="s">
        <v>190</v>
      </c>
      <c r="D221" s="22" t="s">
        <v>831</v>
      </c>
      <c r="E221" s="46" t="s">
        <v>133</v>
      </c>
      <c r="F221" s="24">
        <v>361.65800000000002</v>
      </c>
      <c r="G221" s="24" t="s">
        <v>832</v>
      </c>
      <c r="H221" s="25">
        <v>2007</v>
      </c>
      <c r="I221" s="26">
        <v>44682</v>
      </c>
      <c r="J221" s="49" t="s">
        <v>17</v>
      </c>
      <c r="K221" s="48">
        <v>2007</v>
      </c>
      <c r="L221" s="26" t="s">
        <v>833</v>
      </c>
      <c r="M221" s="27">
        <v>44708</v>
      </c>
      <c r="N221" s="27">
        <f t="shared" si="11"/>
        <v>46534</v>
      </c>
      <c r="O221" s="27" t="str">
        <f>VLOOKUP(F221,'[1]PZ a UTZ'!$E$2:$H$335,3,FALSE)</f>
        <v>PZ 1476/07-E.49</v>
      </c>
      <c r="P221" s="27">
        <f>VLOOKUP(F221,'[1]PZ a UTZ'!$E$2:$H$335,4,FALSE)</f>
        <v>44648</v>
      </c>
      <c r="Q221" s="27">
        <f>EDATE(P221,60)</f>
        <v>46474</v>
      </c>
      <c r="R221" s="242" t="s">
        <v>1530</v>
      </c>
      <c r="S221" s="258">
        <v>725582092</v>
      </c>
      <c r="T221" s="268" t="s">
        <v>1248</v>
      </c>
    </row>
    <row r="222" spans="2:20" x14ac:dyDescent="0.25">
      <c r="B222" s="10">
        <v>221</v>
      </c>
      <c r="C222" s="57" t="s">
        <v>885</v>
      </c>
      <c r="D222" s="58" t="s">
        <v>135</v>
      </c>
      <c r="E222" s="59" t="s">
        <v>133</v>
      </c>
      <c r="F222" s="60">
        <v>360.053</v>
      </c>
      <c r="G222" s="61" t="s">
        <v>1276</v>
      </c>
      <c r="H222" s="62">
        <v>2007</v>
      </c>
      <c r="I222" s="66">
        <v>44682</v>
      </c>
      <c r="J222" s="64" t="s">
        <v>17</v>
      </c>
      <c r="K222" s="62">
        <v>2007</v>
      </c>
      <c r="L222" s="66" t="s">
        <v>888</v>
      </c>
      <c r="M222" s="67">
        <v>44708</v>
      </c>
      <c r="N222" s="67">
        <f t="shared" si="11"/>
        <v>46534</v>
      </c>
      <c r="O222" s="209"/>
      <c r="P222" s="209"/>
      <c r="Q222" s="209"/>
      <c r="R222" s="245" t="s">
        <v>1530</v>
      </c>
      <c r="S222" s="261">
        <v>725582092</v>
      </c>
      <c r="T222" s="275" t="s">
        <v>969</v>
      </c>
    </row>
    <row r="223" spans="2:20" x14ac:dyDescent="0.25">
      <c r="B223" s="10">
        <v>222</v>
      </c>
      <c r="C223" s="45" t="s">
        <v>190</v>
      </c>
      <c r="D223" s="28" t="s">
        <v>587</v>
      </c>
      <c r="E223" s="46" t="s">
        <v>94</v>
      </c>
      <c r="F223" s="47">
        <v>55.654000000000003</v>
      </c>
      <c r="G223" s="47" t="s">
        <v>588</v>
      </c>
      <c r="H223" s="48">
        <v>1995</v>
      </c>
      <c r="I223" s="26">
        <v>44713</v>
      </c>
      <c r="J223" s="49" t="s">
        <v>42</v>
      </c>
      <c r="K223" s="86">
        <v>1995</v>
      </c>
      <c r="L223" s="26" t="s">
        <v>589</v>
      </c>
      <c r="M223" s="27">
        <v>44720</v>
      </c>
      <c r="N223" s="27">
        <f t="shared" si="11"/>
        <v>46546</v>
      </c>
      <c r="O223" s="27" t="str">
        <f>VLOOKUP(F223,'[1]PZ a UTZ'!$E$2:$H$335,3,FALSE)</f>
        <v>PZ 1320/95-E.49</v>
      </c>
      <c r="P223" s="27">
        <f>VLOOKUP(F223,'[1]PZ a UTZ'!$E$2:$H$335,4,FALSE)</f>
        <v>43731</v>
      </c>
      <c r="Q223" s="27">
        <f t="shared" ref="Q223:Q228" si="12">EDATE(P223,60)</f>
        <v>45558</v>
      </c>
      <c r="R223" s="242" t="s">
        <v>1510</v>
      </c>
      <c r="S223" s="258">
        <v>602282288</v>
      </c>
      <c r="T223" s="273" t="s">
        <v>1151</v>
      </c>
    </row>
    <row r="224" spans="2:20" x14ac:dyDescent="0.25">
      <c r="B224" s="10">
        <v>223</v>
      </c>
      <c r="C224" s="45" t="s">
        <v>190</v>
      </c>
      <c r="D224" s="22" t="s">
        <v>584</v>
      </c>
      <c r="E224" s="46" t="s">
        <v>94</v>
      </c>
      <c r="F224" s="47">
        <v>58.552</v>
      </c>
      <c r="G224" s="47" t="s">
        <v>585</v>
      </c>
      <c r="H224" s="48">
        <v>1995</v>
      </c>
      <c r="I224" s="26">
        <v>44713</v>
      </c>
      <c r="J224" s="49" t="s">
        <v>42</v>
      </c>
      <c r="K224" s="86">
        <v>1995</v>
      </c>
      <c r="L224" s="26" t="s">
        <v>586</v>
      </c>
      <c r="M224" s="27">
        <v>44720</v>
      </c>
      <c r="N224" s="27">
        <f t="shared" si="11"/>
        <v>46546</v>
      </c>
      <c r="O224" s="27" t="str">
        <f>VLOOKUP(F224,'[1]PZ a UTZ'!$E$2:$H$335,3,FALSE)</f>
        <v>PZ 1321/95-E.49</v>
      </c>
      <c r="P224" s="27">
        <f>VLOOKUP(F224,'[1]PZ a UTZ'!$E$2:$H$335,4,FALSE)</f>
        <v>43731</v>
      </c>
      <c r="Q224" s="27">
        <f t="shared" si="12"/>
        <v>45558</v>
      </c>
      <c r="R224" s="242" t="s">
        <v>1510</v>
      </c>
      <c r="S224" s="258">
        <v>602282288</v>
      </c>
      <c r="T224" s="274" t="s">
        <v>1150</v>
      </c>
    </row>
    <row r="225" spans="2:20" x14ac:dyDescent="0.25">
      <c r="B225" s="10">
        <v>224</v>
      </c>
      <c r="C225" s="45" t="s">
        <v>190</v>
      </c>
      <c r="D225" s="22" t="s">
        <v>581</v>
      </c>
      <c r="E225" s="46" t="s">
        <v>94</v>
      </c>
      <c r="F225" s="47">
        <v>59.381</v>
      </c>
      <c r="G225" s="47" t="s">
        <v>582</v>
      </c>
      <c r="H225" s="48">
        <v>1995</v>
      </c>
      <c r="I225" s="26">
        <v>44713</v>
      </c>
      <c r="J225" s="49" t="s">
        <v>42</v>
      </c>
      <c r="K225" s="86">
        <v>1995</v>
      </c>
      <c r="L225" s="26" t="s">
        <v>583</v>
      </c>
      <c r="M225" s="27">
        <v>44720</v>
      </c>
      <c r="N225" s="27">
        <f t="shared" si="11"/>
        <v>46546</v>
      </c>
      <c r="O225" s="27" t="str">
        <f>VLOOKUP(F225,'[1]PZ a UTZ'!$E$2:$H$335,3,FALSE)</f>
        <v>PZ 0373/95-E.49</v>
      </c>
      <c r="P225" s="27">
        <f>VLOOKUP(F225,'[1]PZ a UTZ'!$E$2:$H$335,4,FALSE)</f>
        <v>43706</v>
      </c>
      <c r="Q225" s="27">
        <f t="shared" si="12"/>
        <v>45533</v>
      </c>
      <c r="R225" s="242" t="s">
        <v>1510</v>
      </c>
      <c r="S225" s="258">
        <v>602282288</v>
      </c>
      <c r="T225" s="274" t="s">
        <v>1149</v>
      </c>
    </row>
    <row r="226" spans="2:20" x14ac:dyDescent="0.25">
      <c r="B226" s="10">
        <v>225</v>
      </c>
      <c r="C226" s="45" t="s">
        <v>190</v>
      </c>
      <c r="D226" s="22" t="s">
        <v>576</v>
      </c>
      <c r="E226" s="46" t="s">
        <v>94</v>
      </c>
      <c r="F226" s="47">
        <v>65.933999999999997</v>
      </c>
      <c r="G226" s="47" t="s">
        <v>577</v>
      </c>
      <c r="H226" s="48">
        <v>1995</v>
      </c>
      <c r="I226" s="26">
        <v>44713</v>
      </c>
      <c r="J226" s="49" t="s">
        <v>42</v>
      </c>
      <c r="K226" s="86">
        <v>1995</v>
      </c>
      <c r="L226" s="26" t="s">
        <v>578</v>
      </c>
      <c r="M226" s="27">
        <v>44721</v>
      </c>
      <c r="N226" s="27">
        <f t="shared" si="11"/>
        <v>46547</v>
      </c>
      <c r="O226" s="27" t="str">
        <f>VLOOKUP(F226,'[1]PZ a UTZ'!$E$2:$H$335,3,FALSE)</f>
        <v>PZ 0400/95-E.49</v>
      </c>
      <c r="P226" s="27">
        <f>VLOOKUP(F226,'[1]PZ a UTZ'!$E$2:$H$335,4,FALSE)</f>
        <v>43731</v>
      </c>
      <c r="Q226" s="27">
        <f t="shared" si="12"/>
        <v>45558</v>
      </c>
      <c r="R226" s="242" t="s">
        <v>1510</v>
      </c>
      <c r="S226" s="258">
        <v>602282288</v>
      </c>
      <c r="T226" s="274" t="s">
        <v>1147</v>
      </c>
    </row>
    <row r="227" spans="2:20" x14ac:dyDescent="0.25">
      <c r="B227" s="10">
        <v>226</v>
      </c>
      <c r="C227" s="71" t="s">
        <v>190</v>
      </c>
      <c r="D227" s="30" t="s">
        <v>803</v>
      </c>
      <c r="E227" s="72" t="s">
        <v>772</v>
      </c>
      <c r="F227" s="73">
        <v>71.822999999999993</v>
      </c>
      <c r="G227" s="73" t="s">
        <v>804</v>
      </c>
      <c r="H227" s="89">
        <v>2022</v>
      </c>
      <c r="I227" s="44">
        <v>44713</v>
      </c>
      <c r="J227" s="44" t="s">
        <v>42</v>
      </c>
      <c r="K227" s="89">
        <v>2022</v>
      </c>
      <c r="L227" s="44" t="s">
        <v>93</v>
      </c>
      <c r="M227" s="37">
        <v>44739</v>
      </c>
      <c r="N227" s="37">
        <f t="shared" si="11"/>
        <v>46565</v>
      </c>
      <c r="O227" s="37" t="str">
        <f>VLOOKUP(F227,'[1]PZ a UTZ'!$E$2:$H$335,3,FALSE)</f>
        <v>PZ 1425/22-E.49</v>
      </c>
      <c r="P227" s="37">
        <f>VLOOKUP(F227,'[1]PZ a UTZ'!$E$2:$H$335,4,FALSE)</f>
        <v>44741</v>
      </c>
      <c r="Q227" s="37">
        <f t="shared" si="12"/>
        <v>46567</v>
      </c>
      <c r="R227" s="243" t="s">
        <v>797</v>
      </c>
      <c r="S227" s="259">
        <v>724862387</v>
      </c>
      <c r="T227" s="278" t="s">
        <v>1237</v>
      </c>
    </row>
    <row r="228" spans="2:20" x14ac:dyDescent="0.25">
      <c r="B228" s="10">
        <v>227</v>
      </c>
      <c r="C228" s="53" t="s">
        <v>14</v>
      </c>
      <c r="D228" s="22" t="s">
        <v>148</v>
      </c>
      <c r="E228" s="46" t="s">
        <v>133</v>
      </c>
      <c r="F228" s="54">
        <v>403.899</v>
      </c>
      <c r="G228" s="47" t="s">
        <v>1359</v>
      </c>
      <c r="H228" s="48">
        <v>2010</v>
      </c>
      <c r="I228" s="26">
        <v>44713</v>
      </c>
      <c r="J228" s="49" t="s">
        <v>17</v>
      </c>
      <c r="K228" s="48">
        <v>2010</v>
      </c>
      <c r="L228" s="26" t="s">
        <v>149</v>
      </c>
      <c r="M228" s="27">
        <v>44739</v>
      </c>
      <c r="N228" s="27">
        <f t="shared" si="11"/>
        <v>46565</v>
      </c>
      <c r="O228" s="27" t="str">
        <f>VLOOKUP(D228,'[1]PZ a UTZ'!$C$341:$H$464,5,FALSE)</f>
        <v>PZ 721/12-E.49</v>
      </c>
      <c r="P228" s="27">
        <f>VLOOKUP(D228,'[1]PZ a UTZ'!$C$341:$H$464,6,FALSE)</f>
        <v>43655</v>
      </c>
      <c r="Q228" s="27">
        <f t="shared" si="12"/>
        <v>45482</v>
      </c>
      <c r="R228" s="242" t="s">
        <v>1504</v>
      </c>
      <c r="S228" s="258">
        <v>725582094</v>
      </c>
      <c r="T228" s="274" t="s">
        <v>976</v>
      </c>
    </row>
    <row r="229" spans="2:20" x14ac:dyDescent="0.25">
      <c r="B229" s="10">
        <v>228</v>
      </c>
      <c r="C229" s="57" t="s">
        <v>885</v>
      </c>
      <c r="D229" s="58" t="s">
        <v>148</v>
      </c>
      <c r="E229" s="59" t="s">
        <v>133</v>
      </c>
      <c r="F229" s="60">
        <v>403.899</v>
      </c>
      <c r="G229" s="61" t="s">
        <v>1276</v>
      </c>
      <c r="H229" s="62">
        <v>2009</v>
      </c>
      <c r="I229" s="139">
        <v>44713</v>
      </c>
      <c r="J229" s="64" t="s">
        <v>17</v>
      </c>
      <c r="K229" s="62">
        <v>2010</v>
      </c>
      <c r="L229" s="64" t="s">
        <v>894</v>
      </c>
      <c r="M229" s="67">
        <v>44739</v>
      </c>
      <c r="N229" s="67">
        <f t="shared" si="11"/>
        <v>46565</v>
      </c>
      <c r="O229" s="209"/>
      <c r="P229" s="209"/>
      <c r="Q229" s="209"/>
      <c r="R229" s="245" t="s">
        <v>1504</v>
      </c>
      <c r="S229" s="261">
        <v>725582094</v>
      </c>
      <c r="T229" s="275" t="s">
        <v>976</v>
      </c>
    </row>
    <row r="230" spans="2:20" x14ac:dyDescent="0.25">
      <c r="B230" s="10">
        <v>229</v>
      </c>
      <c r="C230" s="53" t="s">
        <v>14</v>
      </c>
      <c r="D230" s="22" t="s">
        <v>137</v>
      </c>
      <c r="E230" s="46" t="s">
        <v>133</v>
      </c>
      <c r="F230" s="54">
        <v>372.14800000000002</v>
      </c>
      <c r="G230" s="47"/>
      <c r="H230" s="48">
        <v>2007</v>
      </c>
      <c r="I230" s="26">
        <v>44743</v>
      </c>
      <c r="J230" s="49" t="s">
        <v>17</v>
      </c>
      <c r="K230" s="48">
        <v>2007</v>
      </c>
      <c r="L230" s="26" t="s">
        <v>138</v>
      </c>
      <c r="M230" s="27">
        <v>44750</v>
      </c>
      <c r="N230" s="27">
        <f t="shared" si="11"/>
        <v>46576</v>
      </c>
      <c r="O230" s="27" t="str">
        <f>VLOOKUP(D230,'[1]PZ a UTZ'!$C$341:$H$464,5,FALSE)</f>
        <v>PZ 2270/07-E.49</v>
      </c>
      <c r="P230" s="27">
        <f>VLOOKUP(D230,'[1]PZ a UTZ'!$C$341:$H$464,6,FALSE)</f>
        <v>44750</v>
      </c>
      <c r="Q230" s="27">
        <f>EDATE(P230,60)</f>
        <v>46576</v>
      </c>
      <c r="R230" s="242" t="s">
        <v>1530</v>
      </c>
      <c r="S230" s="258">
        <v>725582092</v>
      </c>
      <c r="T230" s="274" t="s">
        <v>970</v>
      </c>
    </row>
    <row r="231" spans="2:20" x14ac:dyDescent="0.25">
      <c r="B231" s="10">
        <v>230</v>
      </c>
      <c r="C231" s="57" t="s">
        <v>885</v>
      </c>
      <c r="D231" s="58" t="s">
        <v>137</v>
      </c>
      <c r="E231" s="59" t="s">
        <v>133</v>
      </c>
      <c r="F231" s="60">
        <v>372.14800000000002</v>
      </c>
      <c r="G231" s="61" t="s">
        <v>1276</v>
      </c>
      <c r="H231" s="62">
        <v>2007</v>
      </c>
      <c r="I231" s="66">
        <v>44743</v>
      </c>
      <c r="J231" s="64" t="s">
        <v>17</v>
      </c>
      <c r="K231" s="62">
        <v>2007</v>
      </c>
      <c r="L231" s="66" t="s">
        <v>889</v>
      </c>
      <c r="M231" s="67">
        <v>44750</v>
      </c>
      <c r="N231" s="67">
        <f t="shared" si="11"/>
        <v>46576</v>
      </c>
      <c r="O231" s="209"/>
      <c r="P231" s="209"/>
      <c r="Q231" s="209"/>
      <c r="R231" s="245" t="s">
        <v>1530</v>
      </c>
      <c r="S231" s="261">
        <v>725582092</v>
      </c>
      <c r="T231" s="275" t="s">
        <v>970</v>
      </c>
    </row>
    <row r="232" spans="2:20" x14ac:dyDescent="0.25">
      <c r="B232" s="10">
        <v>231</v>
      </c>
      <c r="C232" s="71" t="s">
        <v>190</v>
      </c>
      <c r="D232" s="30" t="s">
        <v>734</v>
      </c>
      <c r="E232" s="72" t="s">
        <v>112</v>
      </c>
      <c r="F232" s="73">
        <v>56.201999999999998</v>
      </c>
      <c r="G232" s="73" t="s">
        <v>735</v>
      </c>
      <c r="H232" s="89">
        <v>2022</v>
      </c>
      <c r="I232" s="35">
        <v>44743</v>
      </c>
      <c r="J232" s="35" t="s">
        <v>294</v>
      </c>
      <c r="K232" s="85">
        <v>2022</v>
      </c>
      <c r="L232" s="44" t="s">
        <v>93</v>
      </c>
      <c r="M232" s="37">
        <v>44763</v>
      </c>
      <c r="N232" s="37">
        <f t="shared" si="11"/>
        <v>46589</v>
      </c>
      <c r="O232" s="37" t="str">
        <f>VLOOKUP(F232,'[1]PZ a UTZ'!$E$2:$H$335,3,FALSE)</f>
        <v>PZ 1462/22-E.49</v>
      </c>
      <c r="P232" s="37">
        <f>VLOOKUP(F232,'[1]PZ a UTZ'!$E$2:$H$335,4,FALSE)</f>
        <v>44762</v>
      </c>
      <c r="Q232" s="37">
        <f t="shared" ref="Q232:Q242" si="13">EDATE(P232,60)</f>
        <v>46588</v>
      </c>
      <c r="R232" s="243" t="s">
        <v>1487</v>
      </c>
      <c r="S232" s="259">
        <v>725339123</v>
      </c>
      <c r="T232" s="278" t="s">
        <v>1212</v>
      </c>
    </row>
    <row r="233" spans="2:20" x14ac:dyDescent="0.25">
      <c r="B233" s="10">
        <v>232</v>
      </c>
      <c r="C233" s="71" t="s">
        <v>190</v>
      </c>
      <c r="D233" s="30" t="s">
        <v>736</v>
      </c>
      <c r="E233" s="72" t="s">
        <v>112</v>
      </c>
      <c r="F233" s="73">
        <v>56.558999999999997</v>
      </c>
      <c r="G233" s="73" t="s">
        <v>737</v>
      </c>
      <c r="H233" s="89">
        <v>2022</v>
      </c>
      <c r="I233" s="35">
        <v>44743</v>
      </c>
      <c r="J233" s="35" t="s">
        <v>294</v>
      </c>
      <c r="K233" s="85">
        <v>2022</v>
      </c>
      <c r="L233" s="44" t="s">
        <v>93</v>
      </c>
      <c r="M233" s="37">
        <v>44763</v>
      </c>
      <c r="N233" s="37">
        <f t="shared" si="11"/>
        <v>46589</v>
      </c>
      <c r="O233" s="37" t="str">
        <f>VLOOKUP(F233,'[1]PZ a UTZ'!$E$2:$H$335,3,FALSE)</f>
        <v>PZ 1461/22-E.49</v>
      </c>
      <c r="P233" s="37">
        <f>VLOOKUP(F233,'[1]PZ a UTZ'!$E$2:$H$335,4,FALSE)</f>
        <v>44762</v>
      </c>
      <c r="Q233" s="37">
        <f t="shared" si="13"/>
        <v>46588</v>
      </c>
      <c r="R233" s="243" t="s">
        <v>1487</v>
      </c>
      <c r="S233" s="259">
        <v>725339123</v>
      </c>
      <c r="T233" s="278" t="s">
        <v>1213</v>
      </c>
    </row>
    <row r="234" spans="2:20" x14ac:dyDescent="0.25">
      <c r="B234" s="10">
        <v>233</v>
      </c>
      <c r="C234" s="45" t="s">
        <v>190</v>
      </c>
      <c r="D234" s="22" t="s">
        <v>760</v>
      </c>
      <c r="E234" s="51" t="s">
        <v>761</v>
      </c>
      <c r="F234" s="47">
        <v>8.8529999999999998</v>
      </c>
      <c r="G234" s="47" t="s">
        <v>762</v>
      </c>
      <c r="H234" s="48">
        <v>2012</v>
      </c>
      <c r="I234" s="26">
        <v>44774</v>
      </c>
      <c r="J234" s="26" t="s">
        <v>158</v>
      </c>
      <c r="K234" s="48">
        <v>2012</v>
      </c>
      <c r="L234" s="26" t="s">
        <v>763</v>
      </c>
      <c r="M234" s="27">
        <v>44774</v>
      </c>
      <c r="N234" s="27">
        <f t="shared" si="11"/>
        <v>46600</v>
      </c>
      <c r="O234" s="27" t="str">
        <f>VLOOKUP(F234,'[1]PZ a UTZ'!$E$2:$H$335,3,FALSE)</f>
        <v>PZ 1733/12-E.49</v>
      </c>
      <c r="P234" s="27">
        <v>44743</v>
      </c>
      <c r="Q234" s="27">
        <f t="shared" si="13"/>
        <v>46569</v>
      </c>
      <c r="R234" s="242" t="s">
        <v>1492</v>
      </c>
      <c r="S234" s="258">
        <v>724214647</v>
      </c>
      <c r="T234" s="274" t="s">
        <v>1658</v>
      </c>
    </row>
    <row r="235" spans="2:20" x14ac:dyDescent="0.25">
      <c r="B235" s="10">
        <v>234</v>
      </c>
      <c r="C235" s="45" t="s">
        <v>190</v>
      </c>
      <c r="D235" s="22" t="s">
        <v>464</v>
      </c>
      <c r="E235" s="46" t="s">
        <v>63</v>
      </c>
      <c r="F235" s="47">
        <v>155.006</v>
      </c>
      <c r="G235" s="47" t="s">
        <v>465</v>
      </c>
      <c r="H235" s="48">
        <v>2002</v>
      </c>
      <c r="I235" s="26">
        <v>44774</v>
      </c>
      <c r="J235" s="49" t="s">
        <v>46</v>
      </c>
      <c r="K235" s="25">
        <v>2002</v>
      </c>
      <c r="L235" s="26" t="s">
        <v>466</v>
      </c>
      <c r="M235" s="27">
        <v>44774</v>
      </c>
      <c r="N235" s="27">
        <f t="shared" si="11"/>
        <v>46600</v>
      </c>
      <c r="O235" s="27" t="s">
        <v>1586</v>
      </c>
      <c r="P235" s="27">
        <v>44763</v>
      </c>
      <c r="Q235" s="27">
        <f t="shared" si="13"/>
        <v>46589</v>
      </c>
      <c r="R235" s="242" t="s">
        <v>1505</v>
      </c>
      <c r="S235" s="258">
        <v>724644317</v>
      </c>
      <c r="T235" s="274" t="s">
        <v>1107</v>
      </c>
    </row>
    <row r="236" spans="2:20" x14ac:dyDescent="0.25">
      <c r="B236" s="10">
        <v>235</v>
      </c>
      <c r="C236" s="21" t="s">
        <v>190</v>
      </c>
      <c r="D236" s="22" t="s">
        <v>54</v>
      </c>
      <c r="E236" s="141" t="s">
        <v>157</v>
      </c>
      <c r="F236" s="176">
        <v>0.34799999999999998</v>
      </c>
      <c r="G236" s="24" t="s">
        <v>243</v>
      </c>
      <c r="H236" s="25">
        <v>2012</v>
      </c>
      <c r="I236" s="26">
        <v>44774</v>
      </c>
      <c r="J236" s="49" t="s">
        <v>17</v>
      </c>
      <c r="K236" s="48">
        <v>2012</v>
      </c>
      <c r="L236" s="26" t="s">
        <v>244</v>
      </c>
      <c r="M236" s="27">
        <v>44803</v>
      </c>
      <c r="N236" s="27">
        <f t="shared" si="11"/>
        <v>46629</v>
      </c>
      <c r="O236" s="27" t="s">
        <v>1587</v>
      </c>
      <c r="P236" s="27">
        <v>44854</v>
      </c>
      <c r="Q236" s="27">
        <f t="shared" si="13"/>
        <v>46680</v>
      </c>
      <c r="R236" s="242" t="s">
        <v>1543</v>
      </c>
      <c r="S236" s="258">
        <v>724862434</v>
      </c>
      <c r="T236" s="268" t="s">
        <v>1659</v>
      </c>
    </row>
    <row r="237" spans="2:20" x14ac:dyDescent="0.25">
      <c r="B237" s="10">
        <v>236</v>
      </c>
      <c r="C237" s="21" t="s">
        <v>190</v>
      </c>
      <c r="D237" s="22" t="s">
        <v>253</v>
      </c>
      <c r="E237" s="141" t="s">
        <v>157</v>
      </c>
      <c r="F237" s="177">
        <v>3.9</v>
      </c>
      <c r="G237" s="24" t="s">
        <v>254</v>
      </c>
      <c r="H237" s="25">
        <v>2007</v>
      </c>
      <c r="I237" s="26">
        <v>44774</v>
      </c>
      <c r="J237" s="26" t="s">
        <v>49</v>
      </c>
      <c r="K237" s="86">
        <v>2016</v>
      </c>
      <c r="L237" s="26" t="s">
        <v>255</v>
      </c>
      <c r="M237" s="27">
        <v>44803</v>
      </c>
      <c r="N237" s="27">
        <f t="shared" si="11"/>
        <v>46629</v>
      </c>
      <c r="O237" s="27" t="s">
        <v>1588</v>
      </c>
      <c r="P237" s="27">
        <v>44804</v>
      </c>
      <c r="Q237" s="27">
        <f t="shared" si="13"/>
        <v>46630</v>
      </c>
      <c r="R237" s="242" t="s">
        <v>1543</v>
      </c>
      <c r="S237" s="258">
        <v>724862434</v>
      </c>
      <c r="T237" s="268" t="s">
        <v>1026</v>
      </c>
    </row>
    <row r="238" spans="2:20" x14ac:dyDescent="0.25">
      <c r="B238" s="10">
        <v>237</v>
      </c>
      <c r="C238" s="45" t="s">
        <v>190</v>
      </c>
      <c r="D238" s="28" t="s">
        <v>552</v>
      </c>
      <c r="E238" s="46" t="s">
        <v>94</v>
      </c>
      <c r="F238" s="47">
        <v>75.960999999999999</v>
      </c>
      <c r="G238" s="47" t="s">
        <v>553</v>
      </c>
      <c r="H238" s="48">
        <v>2012</v>
      </c>
      <c r="I238" s="26">
        <v>44805</v>
      </c>
      <c r="J238" s="26" t="s">
        <v>158</v>
      </c>
      <c r="K238" s="86">
        <v>2012</v>
      </c>
      <c r="L238" s="26" t="s">
        <v>554</v>
      </c>
      <c r="M238" s="27">
        <v>44805</v>
      </c>
      <c r="N238" s="27">
        <f t="shared" si="11"/>
        <v>46631</v>
      </c>
      <c r="O238" s="27" t="str">
        <f>VLOOKUP(F238,'[1]PZ a UTZ'!$E$2:$H$335,3,FALSE)</f>
        <v>PZ 0718/13-E.49</v>
      </c>
      <c r="P238" s="27">
        <f>VLOOKUP(F238,'[1]PZ a UTZ'!$E$2:$H$335,4,FALSE)</f>
        <v>44802</v>
      </c>
      <c r="Q238" s="27">
        <f t="shared" si="13"/>
        <v>46628</v>
      </c>
      <c r="R238" s="242" t="s">
        <v>1491</v>
      </c>
      <c r="S238" s="258">
        <v>725582090</v>
      </c>
      <c r="T238" s="273" t="s">
        <v>1139</v>
      </c>
    </row>
    <row r="239" spans="2:20" x14ac:dyDescent="0.25">
      <c r="B239" s="10">
        <v>238</v>
      </c>
      <c r="C239" s="178" t="s">
        <v>14</v>
      </c>
      <c r="D239" s="22" t="s">
        <v>58</v>
      </c>
      <c r="E239" s="46" t="s">
        <v>53</v>
      </c>
      <c r="F239" s="54">
        <v>71.762</v>
      </c>
      <c r="G239" s="47"/>
      <c r="H239" s="48">
        <v>2011</v>
      </c>
      <c r="I239" s="138">
        <v>44805</v>
      </c>
      <c r="J239" s="49" t="s">
        <v>17</v>
      </c>
      <c r="K239" s="48">
        <v>2011</v>
      </c>
      <c r="L239" s="138" t="s">
        <v>59</v>
      </c>
      <c r="M239" s="27">
        <v>44810</v>
      </c>
      <c r="N239" s="27">
        <f t="shared" si="11"/>
        <v>46636</v>
      </c>
      <c r="O239" s="27" t="str">
        <f>VLOOKUP(D239,'[1]PZ a UTZ'!$C$341:$H$464,5,FALSE)</f>
        <v>PZ 0706/13-E.49</v>
      </c>
      <c r="P239" s="27">
        <f>VLOOKUP(D239,'[1]PZ a UTZ'!$C$341:$H$464,6,FALSE)</f>
        <v>44849</v>
      </c>
      <c r="Q239" s="27">
        <f t="shared" si="13"/>
        <v>46675</v>
      </c>
      <c r="R239" s="242" t="s">
        <v>1542</v>
      </c>
      <c r="S239" s="258">
        <v>702062264</v>
      </c>
      <c r="T239" s="274" t="s">
        <v>937</v>
      </c>
    </row>
    <row r="240" spans="2:20" x14ac:dyDescent="0.25">
      <c r="B240" s="10">
        <v>239</v>
      </c>
      <c r="C240" s="81" t="s">
        <v>190</v>
      </c>
      <c r="D240" s="22" t="s">
        <v>320</v>
      </c>
      <c r="E240" s="141" t="s">
        <v>311</v>
      </c>
      <c r="F240" s="24">
        <v>3.6179999999999999</v>
      </c>
      <c r="G240" s="24" t="s">
        <v>321</v>
      </c>
      <c r="H240" s="25">
        <v>2017</v>
      </c>
      <c r="I240" s="26">
        <v>44805</v>
      </c>
      <c r="J240" s="163" t="s">
        <v>77</v>
      </c>
      <c r="K240" s="25">
        <v>2017</v>
      </c>
      <c r="L240" s="163" t="s">
        <v>322</v>
      </c>
      <c r="M240" s="27">
        <v>44811</v>
      </c>
      <c r="N240" s="27">
        <f t="shared" si="11"/>
        <v>46637</v>
      </c>
      <c r="O240" s="27" t="s">
        <v>1589</v>
      </c>
      <c r="P240" s="27">
        <v>44811</v>
      </c>
      <c r="Q240" s="27">
        <f t="shared" si="13"/>
        <v>46637</v>
      </c>
      <c r="R240" s="242" t="s">
        <v>1507</v>
      </c>
      <c r="S240" s="258">
        <v>605523102</v>
      </c>
      <c r="T240" s="268" t="s">
        <v>1049</v>
      </c>
    </row>
    <row r="241" spans="2:20" x14ac:dyDescent="0.25">
      <c r="B241" s="10">
        <v>240</v>
      </c>
      <c r="C241" s="81" t="s">
        <v>190</v>
      </c>
      <c r="D241" s="22" t="s">
        <v>320</v>
      </c>
      <c r="E241" s="141" t="s">
        <v>311</v>
      </c>
      <c r="F241" s="24">
        <v>3.9750000000000001</v>
      </c>
      <c r="G241" s="24" t="s">
        <v>323</v>
      </c>
      <c r="H241" s="25">
        <v>2017</v>
      </c>
      <c r="I241" s="26">
        <v>44805</v>
      </c>
      <c r="J241" s="163" t="s">
        <v>77</v>
      </c>
      <c r="K241" s="25">
        <v>2017</v>
      </c>
      <c r="L241" s="163" t="s">
        <v>324</v>
      </c>
      <c r="M241" s="27">
        <v>44811</v>
      </c>
      <c r="N241" s="27">
        <f t="shared" si="11"/>
        <v>46637</v>
      </c>
      <c r="O241" s="27" t="s">
        <v>1590</v>
      </c>
      <c r="P241" s="27">
        <v>44811</v>
      </c>
      <c r="Q241" s="27">
        <f t="shared" si="13"/>
        <v>46637</v>
      </c>
      <c r="R241" s="242" t="s">
        <v>1507</v>
      </c>
      <c r="S241" s="258">
        <v>605523102</v>
      </c>
      <c r="T241" s="268" t="s">
        <v>1050</v>
      </c>
    </row>
    <row r="242" spans="2:20" x14ac:dyDescent="0.25">
      <c r="B242" s="10">
        <v>241</v>
      </c>
      <c r="C242" s="21" t="s">
        <v>190</v>
      </c>
      <c r="D242" s="22" t="s">
        <v>30</v>
      </c>
      <c r="E242" s="51" t="s">
        <v>25</v>
      </c>
      <c r="F242" s="24">
        <v>25.422999999999998</v>
      </c>
      <c r="G242" s="24" t="s">
        <v>382</v>
      </c>
      <c r="H242" s="25">
        <v>2002</v>
      </c>
      <c r="I242" s="26">
        <v>44805</v>
      </c>
      <c r="J242" s="49" t="s">
        <v>46</v>
      </c>
      <c r="K242" s="25">
        <v>2002</v>
      </c>
      <c r="L242" s="163" t="s">
        <v>383</v>
      </c>
      <c r="M242" s="27">
        <v>44811</v>
      </c>
      <c r="N242" s="27">
        <f t="shared" si="11"/>
        <v>46637</v>
      </c>
      <c r="O242" s="27" t="str">
        <f>VLOOKUP(F242,'[1]PZ a UTZ'!$E$2:$H$335,3,FALSE)</f>
        <v>PZ 0596/02-E.49</v>
      </c>
      <c r="P242" s="27">
        <f>VLOOKUP(F242,'[1]PZ a UTZ'!$E$2:$H$335,4,FALSE)</f>
        <v>44811</v>
      </c>
      <c r="Q242" s="27">
        <f t="shared" si="13"/>
        <v>46637</v>
      </c>
      <c r="R242" s="242" t="s">
        <v>1493</v>
      </c>
      <c r="S242" s="258">
        <v>602668264</v>
      </c>
      <c r="T242" s="268" t="s">
        <v>1074</v>
      </c>
    </row>
    <row r="243" spans="2:20" x14ac:dyDescent="0.25">
      <c r="B243" s="10">
        <v>242</v>
      </c>
      <c r="C243" s="57" t="s">
        <v>885</v>
      </c>
      <c r="D243" s="58" t="s">
        <v>58</v>
      </c>
      <c r="E243" s="59" t="s">
        <v>53</v>
      </c>
      <c r="F243" s="60">
        <v>71.762</v>
      </c>
      <c r="G243" s="61" t="s">
        <v>1276</v>
      </c>
      <c r="H243" s="62">
        <v>2010</v>
      </c>
      <c r="I243" s="66">
        <v>44805</v>
      </c>
      <c r="J243" s="149" t="s">
        <v>16</v>
      </c>
      <c r="K243" s="65">
        <v>2010</v>
      </c>
      <c r="L243" s="179" t="s">
        <v>904</v>
      </c>
      <c r="M243" s="67">
        <v>44811</v>
      </c>
      <c r="N243" s="67">
        <f t="shared" si="11"/>
        <v>46637</v>
      </c>
      <c r="O243" s="209"/>
      <c r="P243" s="209"/>
      <c r="Q243" s="209"/>
      <c r="R243" s="245" t="s">
        <v>1542</v>
      </c>
      <c r="S243" s="261">
        <v>702062264</v>
      </c>
      <c r="T243" s="275" t="s">
        <v>937</v>
      </c>
    </row>
    <row r="244" spans="2:20" x14ac:dyDescent="0.25">
      <c r="B244" s="10">
        <v>243</v>
      </c>
      <c r="C244" s="45" t="s">
        <v>190</v>
      </c>
      <c r="D244" s="22" t="s">
        <v>817</v>
      </c>
      <c r="E244" s="51" t="s">
        <v>818</v>
      </c>
      <c r="F244" s="47">
        <v>7.4349999999999996</v>
      </c>
      <c r="G244" s="47" t="s">
        <v>819</v>
      </c>
      <c r="H244" s="48">
        <v>2010</v>
      </c>
      <c r="I244" s="26">
        <v>44805</v>
      </c>
      <c r="J244" s="49" t="s">
        <v>46</v>
      </c>
      <c r="K244" s="25">
        <v>2010</v>
      </c>
      <c r="L244" s="163" t="s">
        <v>820</v>
      </c>
      <c r="M244" s="27">
        <v>44817</v>
      </c>
      <c r="N244" s="27">
        <f t="shared" si="11"/>
        <v>46643</v>
      </c>
      <c r="O244" s="27" t="str">
        <f>VLOOKUP(F244,'[1]PZ a UTZ'!$E$2:$H$335,3,FALSE)</f>
        <v>PZ 1365/10-E.49</v>
      </c>
      <c r="P244" s="27">
        <f>VLOOKUP(F244,'[1]PZ a UTZ'!$E$2:$H$335,4,FALSE)</f>
        <v>43643</v>
      </c>
      <c r="Q244" s="27">
        <f>EDATE(P244,60)</f>
        <v>45470</v>
      </c>
      <c r="R244" s="242" t="s">
        <v>1591</v>
      </c>
      <c r="S244" s="258">
        <v>724862387</v>
      </c>
      <c r="T244" s="274" t="s">
        <v>1660</v>
      </c>
    </row>
    <row r="245" spans="2:20" x14ac:dyDescent="0.25">
      <c r="B245" s="10">
        <v>244</v>
      </c>
      <c r="C245" s="45" t="s">
        <v>190</v>
      </c>
      <c r="D245" s="22" t="s">
        <v>821</v>
      </c>
      <c r="E245" s="51" t="s">
        <v>818</v>
      </c>
      <c r="F245" s="47">
        <v>12.02</v>
      </c>
      <c r="G245" s="47" t="s">
        <v>822</v>
      </c>
      <c r="H245" s="48">
        <v>2008</v>
      </c>
      <c r="I245" s="26">
        <v>44805</v>
      </c>
      <c r="J245" s="49" t="s">
        <v>120</v>
      </c>
      <c r="K245" s="48">
        <v>2008</v>
      </c>
      <c r="L245" s="163" t="s">
        <v>823</v>
      </c>
      <c r="M245" s="27">
        <v>44817</v>
      </c>
      <c r="N245" s="27">
        <f t="shared" si="11"/>
        <v>46643</v>
      </c>
      <c r="O245" s="27" t="str">
        <f>VLOOKUP(F245,'[1]PZ a UTZ'!$E$2:$H$335,3,FALSE)</f>
        <v>PZ 0343/08-E.49</v>
      </c>
      <c r="P245" s="27">
        <f>VLOOKUP(F245,'[1]PZ a UTZ'!$E$2:$H$335,4,FALSE)</f>
        <v>44950</v>
      </c>
      <c r="Q245" s="27">
        <f>EDATE(P245,60)</f>
        <v>46776</v>
      </c>
      <c r="R245" s="242" t="s">
        <v>1591</v>
      </c>
      <c r="S245" s="258">
        <v>724862387</v>
      </c>
      <c r="T245" s="276" t="s">
        <v>1661</v>
      </c>
    </row>
    <row r="246" spans="2:20" x14ac:dyDescent="0.25">
      <c r="B246" s="10">
        <v>245</v>
      </c>
      <c r="C246" s="45" t="s">
        <v>190</v>
      </c>
      <c r="D246" s="22" t="s">
        <v>111</v>
      </c>
      <c r="E246" s="46" t="s">
        <v>112</v>
      </c>
      <c r="F246" s="47">
        <v>7.2110000000000003</v>
      </c>
      <c r="G246" s="47" t="s">
        <v>666</v>
      </c>
      <c r="H246" s="48">
        <v>2017</v>
      </c>
      <c r="I246" s="26">
        <v>44835</v>
      </c>
      <c r="J246" s="26" t="s">
        <v>124</v>
      </c>
      <c r="K246" s="56">
        <v>2017</v>
      </c>
      <c r="L246" s="163" t="s">
        <v>667</v>
      </c>
      <c r="M246" s="27">
        <v>44853</v>
      </c>
      <c r="N246" s="27">
        <f t="shared" si="11"/>
        <v>46679</v>
      </c>
      <c r="O246" s="27" t="str">
        <f>VLOOKUP(F246,'[1]PZ a UTZ'!$E$2:$H$335,3,FALSE)</f>
        <v>PZ 1080/17-E.49</v>
      </c>
      <c r="P246" s="27">
        <f>VLOOKUP(F246,'[1]PZ a UTZ'!$E$2:$H$335,4,FALSE)</f>
        <v>44802</v>
      </c>
      <c r="Q246" s="27">
        <f>EDATE(P246,60)</f>
        <v>46628</v>
      </c>
      <c r="R246" s="242" t="s">
        <v>1487</v>
      </c>
      <c r="S246" s="258">
        <v>725339123</v>
      </c>
      <c r="T246" s="274" t="s">
        <v>1176</v>
      </c>
    </row>
    <row r="247" spans="2:20" x14ac:dyDescent="0.25">
      <c r="B247" s="10">
        <v>246</v>
      </c>
      <c r="C247" s="180" t="s">
        <v>864</v>
      </c>
      <c r="D247" s="22" t="s">
        <v>872</v>
      </c>
      <c r="E247" s="46" t="s">
        <v>112</v>
      </c>
      <c r="F247" s="47">
        <v>2.8820000000000001</v>
      </c>
      <c r="G247" s="47" t="s">
        <v>873</v>
      </c>
      <c r="H247" s="95">
        <v>1993</v>
      </c>
      <c r="I247" s="26">
        <v>44835</v>
      </c>
      <c r="J247" s="49" t="s">
        <v>46</v>
      </c>
      <c r="K247" s="25">
        <v>2012</v>
      </c>
      <c r="L247" s="163" t="s">
        <v>874</v>
      </c>
      <c r="M247" s="27">
        <v>44853</v>
      </c>
      <c r="N247" s="27">
        <f t="shared" si="11"/>
        <v>46679</v>
      </c>
      <c r="O247" s="27" t="s">
        <v>1592</v>
      </c>
      <c r="P247" s="27">
        <v>44802</v>
      </c>
      <c r="Q247" s="27">
        <f>EDATE(P247,60)</f>
        <v>46628</v>
      </c>
      <c r="R247" s="242" t="s">
        <v>1498</v>
      </c>
      <c r="S247" s="258">
        <v>725339124</v>
      </c>
      <c r="T247" s="274" t="s">
        <v>1260</v>
      </c>
    </row>
    <row r="248" spans="2:20" x14ac:dyDescent="0.25">
      <c r="B248" s="10">
        <v>247</v>
      </c>
      <c r="C248" s="181" t="s">
        <v>90</v>
      </c>
      <c r="D248" s="30" t="s">
        <v>91</v>
      </c>
      <c r="E248" s="94" t="s">
        <v>92</v>
      </c>
      <c r="F248" s="182">
        <v>8.0180000000000007</v>
      </c>
      <c r="G248" s="73"/>
      <c r="H248" s="89">
        <v>2022</v>
      </c>
      <c r="I248" s="44">
        <v>44866</v>
      </c>
      <c r="J248" s="44" t="s">
        <v>49</v>
      </c>
      <c r="K248" s="36">
        <v>2022</v>
      </c>
      <c r="L248" s="44" t="s">
        <v>93</v>
      </c>
      <c r="M248" s="37">
        <v>44867</v>
      </c>
      <c r="N248" s="37">
        <f t="shared" si="11"/>
        <v>46693</v>
      </c>
      <c r="O248" s="37" t="s">
        <v>1593</v>
      </c>
      <c r="P248" s="37">
        <v>44869</v>
      </c>
      <c r="Q248" s="37">
        <f>EDATE(P248,60)</f>
        <v>46695</v>
      </c>
      <c r="R248" s="243" t="s">
        <v>1505</v>
      </c>
      <c r="S248" s="259">
        <v>724644317</v>
      </c>
      <c r="T248" s="278" t="s">
        <v>949</v>
      </c>
    </row>
    <row r="249" spans="2:20" x14ac:dyDescent="0.25">
      <c r="B249" s="10">
        <v>248</v>
      </c>
      <c r="C249" s="100" t="s">
        <v>1289</v>
      </c>
      <c r="D249" s="101" t="s">
        <v>91</v>
      </c>
      <c r="E249" s="183" t="s">
        <v>92</v>
      </c>
      <c r="F249" s="103">
        <v>8.0180000000000007</v>
      </c>
      <c r="G249" s="104"/>
      <c r="H249" s="151">
        <v>2022</v>
      </c>
      <c r="I249" s="96">
        <v>44866</v>
      </c>
      <c r="J249" s="96" t="s">
        <v>16</v>
      </c>
      <c r="K249" s="184"/>
      <c r="L249" s="96" t="s">
        <v>1360</v>
      </c>
      <c r="M249" s="108">
        <v>44867</v>
      </c>
      <c r="N249" s="108">
        <f t="shared" si="11"/>
        <v>46693</v>
      </c>
      <c r="O249" s="209"/>
      <c r="P249" s="209"/>
      <c r="Q249" s="209"/>
      <c r="R249" s="246" t="s">
        <v>1505</v>
      </c>
      <c r="S249" s="262">
        <v>724644317</v>
      </c>
      <c r="T249" s="283" t="s">
        <v>949</v>
      </c>
    </row>
    <row r="250" spans="2:20" x14ac:dyDescent="0.25">
      <c r="B250" s="10">
        <v>249</v>
      </c>
      <c r="C250" s="45" t="s">
        <v>190</v>
      </c>
      <c r="D250" s="22" t="s">
        <v>490</v>
      </c>
      <c r="E250" s="46" t="s">
        <v>63</v>
      </c>
      <c r="F250" s="47">
        <v>166.995</v>
      </c>
      <c r="G250" s="47" t="s">
        <v>491</v>
      </c>
      <c r="H250" s="56">
        <v>2013</v>
      </c>
      <c r="I250" s="26">
        <v>44866</v>
      </c>
      <c r="J250" s="26" t="s">
        <v>124</v>
      </c>
      <c r="K250" s="86">
        <v>2013</v>
      </c>
      <c r="L250" s="163" t="s">
        <v>492</v>
      </c>
      <c r="M250" s="27">
        <v>44880</v>
      </c>
      <c r="N250" s="27">
        <f t="shared" si="11"/>
        <v>46706</v>
      </c>
      <c r="O250" s="27" t="s">
        <v>1594</v>
      </c>
      <c r="P250" s="27">
        <v>44896</v>
      </c>
      <c r="Q250" s="27">
        <f>EDATE(P250,60)</f>
        <v>46722</v>
      </c>
      <c r="R250" s="242" t="s">
        <v>1505</v>
      </c>
      <c r="S250" s="258">
        <v>724644317</v>
      </c>
      <c r="T250" s="274" t="s">
        <v>1117</v>
      </c>
    </row>
    <row r="251" spans="2:20" x14ac:dyDescent="0.25">
      <c r="B251" s="10">
        <v>250</v>
      </c>
      <c r="C251" s="45" t="s">
        <v>190</v>
      </c>
      <c r="D251" s="22" t="s">
        <v>119</v>
      </c>
      <c r="E251" s="46" t="s">
        <v>112</v>
      </c>
      <c r="F251" s="47">
        <v>16.370999999999999</v>
      </c>
      <c r="G251" s="47" t="s">
        <v>676</v>
      </c>
      <c r="H251" s="95">
        <v>1976</v>
      </c>
      <c r="I251" s="49">
        <v>44866</v>
      </c>
      <c r="J251" s="149" t="s">
        <v>16</v>
      </c>
      <c r="K251" s="56">
        <v>2007</v>
      </c>
      <c r="L251" s="49" t="s">
        <v>677</v>
      </c>
      <c r="M251" s="27">
        <v>44888</v>
      </c>
      <c r="N251" s="27">
        <f t="shared" si="11"/>
        <v>46714</v>
      </c>
      <c r="O251" s="27" t="str">
        <f>VLOOKUP(F251,'[1]PZ a UTZ'!$E$2:$H$335,3,FALSE)</f>
        <v>PZ 10304/96-E.49</v>
      </c>
      <c r="P251" s="27">
        <f>VLOOKUP(F251,'[1]PZ a UTZ'!$E$2:$H$335,4,FALSE)</f>
        <v>44141</v>
      </c>
      <c r="Q251" s="27">
        <f>EDATE(P251,60)</f>
        <v>45967</v>
      </c>
      <c r="R251" s="242" t="s">
        <v>1487</v>
      </c>
      <c r="S251" s="258">
        <v>725339123</v>
      </c>
      <c r="T251" s="274" t="s">
        <v>1180</v>
      </c>
    </row>
    <row r="252" spans="2:20" x14ac:dyDescent="0.25">
      <c r="B252" s="10">
        <v>251</v>
      </c>
      <c r="C252" s="185" t="s">
        <v>190</v>
      </c>
      <c r="D252" s="22" t="s">
        <v>861</v>
      </c>
      <c r="E252" s="186" t="s">
        <v>112</v>
      </c>
      <c r="F252" s="187">
        <v>19.277999999999999</v>
      </c>
      <c r="G252" s="187" t="s">
        <v>862</v>
      </c>
      <c r="H252" s="188">
        <v>2014</v>
      </c>
      <c r="I252" s="189">
        <v>44866</v>
      </c>
      <c r="J252" s="189" t="s">
        <v>120</v>
      </c>
      <c r="K252" s="188">
        <v>2014</v>
      </c>
      <c r="L252" s="189" t="s">
        <v>863</v>
      </c>
      <c r="M252" s="190">
        <v>44888</v>
      </c>
      <c r="N252" s="190">
        <f t="shared" si="11"/>
        <v>46714</v>
      </c>
      <c r="O252" s="190" t="s">
        <v>1595</v>
      </c>
      <c r="P252" s="190">
        <v>44141</v>
      </c>
      <c r="Q252" s="190">
        <f>EDATE(P252,60)</f>
        <v>45967</v>
      </c>
      <c r="R252" s="250" t="s">
        <v>1498</v>
      </c>
      <c r="S252" s="263">
        <v>725339124</v>
      </c>
      <c r="T252" s="298" t="s">
        <v>1662</v>
      </c>
    </row>
    <row r="253" spans="2:20" x14ac:dyDescent="0.25">
      <c r="B253" s="10">
        <v>252</v>
      </c>
      <c r="C253" s="68" t="s">
        <v>164</v>
      </c>
      <c r="D253" s="22" t="s">
        <v>1361</v>
      </c>
      <c r="E253" s="46" t="s">
        <v>133</v>
      </c>
      <c r="F253" s="69">
        <v>387.01400000000001</v>
      </c>
      <c r="G253" s="24" t="s">
        <v>1278</v>
      </c>
      <c r="H253" s="25">
        <v>2010</v>
      </c>
      <c r="I253" s="55">
        <v>44927</v>
      </c>
      <c r="J253" s="49" t="s">
        <v>17</v>
      </c>
      <c r="K253" s="25">
        <v>2010</v>
      </c>
      <c r="L253" s="26" t="s">
        <v>184</v>
      </c>
      <c r="M253" s="27">
        <v>44931</v>
      </c>
      <c r="N253" s="27">
        <f t="shared" si="11"/>
        <v>46757</v>
      </c>
      <c r="O253" s="27" t="e">
        <f>VLOOKUP(D253,'[1]PZ a UTZ'!B489:G582,5,FALSE)</f>
        <v>#N/A</v>
      </c>
      <c r="P253" s="27" t="e">
        <f>VLOOKUP(D253,'[1]PZ a UTZ'!B489:G582,6,FALSE)</f>
        <v>#N/A</v>
      </c>
      <c r="Q253" s="27" t="e">
        <f>EDATE(P253,60)</f>
        <v>#N/A</v>
      </c>
      <c r="R253" s="242" t="s">
        <v>1489</v>
      </c>
      <c r="S253" s="258">
        <v>725363407</v>
      </c>
      <c r="T253" s="280" t="s">
        <v>996</v>
      </c>
    </row>
    <row r="254" spans="2:20" x14ac:dyDescent="0.25">
      <c r="B254" s="10">
        <v>253</v>
      </c>
      <c r="C254" s="53" t="s">
        <v>14</v>
      </c>
      <c r="D254" s="22" t="s">
        <v>144</v>
      </c>
      <c r="E254" s="46" t="s">
        <v>133</v>
      </c>
      <c r="F254" s="54">
        <v>390.97500000000002</v>
      </c>
      <c r="G254" s="47"/>
      <c r="H254" s="25">
        <v>2010</v>
      </c>
      <c r="I254" s="55">
        <v>44927</v>
      </c>
      <c r="J254" s="49" t="s">
        <v>17</v>
      </c>
      <c r="K254" s="25">
        <v>2010</v>
      </c>
      <c r="L254" s="26" t="s">
        <v>145</v>
      </c>
      <c r="M254" s="27">
        <v>44931</v>
      </c>
      <c r="N254" s="27">
        <f t="shared" si="11"/>
        <v>46757</v>
      </c>
      <c r="O254" s="27" t="str">
        <f>VLOOKUP(D254,'[1]PZ a UTZ'!$C$341:$H$464,5,FALSE)</f>
        <v>PZ 718/12-E.49</v>
      </c>
      <c r="P254" s="27">
        <f>VLOOKUP(D254,'[1]PZ a UTZ'!$C$341:$H$464,6,FALSE)</f>
        <v>43628</v>
      </c>
      <c r="Q254" s="27">
        <f>EDATE(P254,60)</f>
        <v>45455</v>
      </c>
      <c r="R254" s="242" t="s">
        <v>1529</v>
      </c>
      <c r="S254" s="258">
        <v>724214467</v>
      </c>
      <c r="T254" s="274" t="s">
        <v>974</v>
      </c>
    </row>
    <row r="255" spans="2:20" x14ac:dyDescent="0.25">
      <c r="B255" s="10">
        <v>254</v>
      </c>
      <c r="C255" s="57" t="s">
        <v>885</v>
      </c>
      <c r="D255" s="58" t="s">
        <v>144</v>
      </c>
      <c r="E255" s="59" t="s">
        <v>133</v>
      </c>
      <c r="F255" s="60">
        <v>390.97500000000002</v>
      </c>
      <c r="G255" s="61" t="s">
        <v>1276</v>
      </c>
      <c r="H255" s="62">
        <v>2010</v>
      </c>
      <c r="I255" s="63">
        <v>44927</v>
      </c>
      <c r="J255" s="64" t="s">
        <v>17</v>
      </c>
      <c r="K255" s="65">
        <v>2010</v>
      </c>
      <c r="L255" s="66" t="s">
        <v>892</v>
      </c>
      <c r="M255" s="67">
        <v>44931</v>
      </c>
      <c r="N255" s="67">
        <f t="shared" si="11"/>
        <v>46757</v>
      </c>
      <c r="O255" s="209"/>
      <c r="P255" s="209"/>
      <c r="Q255" s="209"/>
      <c r="R255" s="245" t="s">
        <v>1529</v>
      </c>
      <c r="S255" s="261">
        <v>724214467</v>
      </c>
      <c r="T255" s="275" t="s">
        <v>974</v>
      </c>
    </row>
    <row r="256" spans="2:20" x14ac:dyDescent="0.25">
      <c r="B256" s="10">
        <v>255</v>
      </c>
      <c r="C256" s="45" t="s">
        <v>190</v>
      </c>
      <c r="D256" s="22" t="s">
        <v>496</v>
      </c>
      <c r="E256" s="46" t="s">
        <v>63</v>
      </c>
      <c r="F256" s="47">
        <v>169.46700000000001</v>
      </c>
      <c r="G256" s="47" t="s">
        <v>497</v>
      </c>
      <c r="H256" s="48">
        <v>2013</v>
      </c>
      <c r="I256" s="55">
        <v>44927</v>
      </c>
      <c r="J256" s="26" t="s">
        <v>124</v>
      </c>
      <c r="K256" s="86">
        <v>2013</v>
      </c>
      <c r="L256" s="26" t="s">
        <v>498</v>
      </c>
      <c r="M256" s="27">
        <v>44950</v>
      </c>
      <c r="N256" s="27">
        <f t="shared" si="11"/>
        <v>46776</v>
      </c>
      <c r="O256" s="27" t="s">
        <v>1596</v>
      </c>
      <c r="P256" s="27">
        <v>44950</v>
      </c>
      <c r="Q256" s="27">
        <f t="shared" ref="Q256:Q270" si="14">EDATE(P256,60)</f>
        <v>46776</v>
      </c>
      <c r="R256" s="242" t="s">
        <v>1483</v>
      </c>
      <c r="S256" s="258">
        <v>724214678</v>
      </c>
      <c r="T256" s="274" t="s">
        <v>1119</v>
      </c>
    </row>
    <row r="257" spans="2:20" x14ac:dyDescent="0.25">
      <c r="B257" s="10">
        <v>256</v>
      </c>
      <c r="C257" s="45" t="s">
        <v>190</v>
      </c>
      <c r="D257" s="28" t="s">
        <v>602</v>
      </c>
      <c r="E257" s="46" t="s">
        <v>94</v>
      </c>
      <c r="F257" s="47">
        <v>47.201000000000001</v>
      </c>
      <c r="G257" s="47" t="s">
        <v>603</v>
      </c>
      <c r="H257" s="56">
        <v>1996</v>
      </c>
      <c r="I257" s="49">
        <v>44958</v>
      </c>
      <c r="J257" s="49" t="s">
        <v>604</v>
      </c>
      <c r="K257" s="56">
        <v>1996</v>
      </c>
      <c r="L257" s="49" t="s">
        <v>605</v>
      </c>
      <c r="M257" s="27">
        <v>44978</v>
      </c>
      <c r="N257" s="27">
        <f t="shared" si="11"/>
        <v>46804</v>
      </c>
      <c r="O257" s="27" t="str">
        <f>VLOOKUP(F257,'[1]PZ a UTZ'!$E$2:$H$335,3,FALSE)</f>
        <v>PZ 2521/96-E.49</v>
      </c>
      <c r="P257" s="27">
        <f>VLOOKUP(F257,'[1]PZ a UTZ'!$E$2:$H$335,4,FALSE)</f>
        <v>44124</v>
      </c>
      <c r="Q257" s="27">
        <f t="shared" si="14"/>
        <v>45950</v>
      </c>
      <c r="R257" s="242" t="s">
        <v>1510</v>
      </c>
      <c r="S257" s="258">
        <v>602282288</v>
      </c>
      <c r="T257" s="273" t="s">
        <v>1156</v>
      </c>
    </row>
    <row r="258" spans="2:20" x14ac:dyDescent="0.25">
      <c r="B258" s="10">
        <v>257</v>
      </c>
      <c r="C258" s="115" t="s">
        <v>14</v>
      </c>
      <c r="D258" s="22" t="s">
        <v>102</v>
      </c>
      <c r="E258" s="46" t="s">
        <v>94</v>
      </c>
      <c r="F258" s="54">
        <v>49.179000000000002</v>
      </c>
      <c r="G258" s="47"/>
      <c r="H258" s="56">
        <v>1996</v>
      </c>
      <c r="I258" s="49">
        <v>44958</v>
      </c>
      <c r="J258" s="49" t="s">
        <v>83</v>
      </c>
      <c r="K258" s="56">
        <v>1996</v>
      </c>
      <c r="L258" s="49" t="s">
        <v>103</v>
      </c>
      <c r="M258" s="27">
        <v>44978</v>
      </c>
      <c r="N258" s="27">
        <f t="shared" si="11"/>
        <v>46804</v>
      </c>
      <c r="O258" s="27" t="str">
        <f>VLOOKUP(D258,'[1]PZ a UTZ'!$C$341:$H$464,5,FALSE)</f>
        <v>PZ 2531/96-E.49</v>
      </c>
      <c r="P258" s="27">
        <f>VLOOKUP(D258,'[1]PZ a UTZ'!$C$341:$H$464,6,FALSE)</f>
        <v>44085</v>
      </c>
      <c r="Q258" s="27">
        <f t="shared" si="14"/>
        <v>45911</v>
      </c>
      <c r="R258" s="242" t="s">
        <v>1521</v>
      </c>
      <c r="S258" s="258">
        <v>602668275</v>
      </c>
      <c r="T258" s="274" t="s">
        <v>955</v>
      </c>
    </row>
    <row r="259" spans="2:20" x14ac:dyDescent="0.25">
      <c r="B259" s="10">
        <v>258</v>
      </c>
      <c r="C259" s="81" t="s">
        <v>190</v>
      </c>
      <c r="D259" s="22" t="s">
        <v>834</v>
      </c>
      <c r="E259" s="46" t="s">
        <v>133</v>
      </c>
      <c r="F259" s="24">
        <v>365.48099999999999</v>
      </c>
      <c r="G259" s="24" t="s">
        <v>835</v>
      </c>
      <c r="H259" s="25">
        <v>2008</v>
      </c>
      <c r="I259" s="26">
        <v>44986</v>
      </c>
      <c r="J259" s="49" t="s">
        <v>17</v>
      </c>
      <c r="K259" s="86">
        <v>2008</v>
      </c>
      <c r="L259" s="49" t="s">
        <v>836</v>
      </c>
      <c r="M259" s="27">
        <v>44988</v>
      </c>
      <c r="N259" s="27">
        <f t="shared" ref="N259:N322" si="15">EDATE(M259,60)</f>
        <v>46815</v>
      </c>
      <c r="O259" s="27" t="str">
        <f>VLOOKUP(F259,'[1]PZ a UTZ'!$E$2:$H$335,3,FALSE)</f>
        <v>PZ 0363/08-E.49</v>
      </c>
      <c r="P259" s="27">
        <f>VLOOKUP(F259,'[1]PZ a UTZ'!$E$2:$H$335,4,FALSE)</f>
        <v>44951</v>
      </c>
      <c r="Q259" s="27">
        <f t="shared" si="14"/>
        <v>46777</v>
      </c>
      <c r="R259" s="242" t="s">
        <v>1530</v>
      </c>
      <c r="S259" s="258">
        <v>725582092</v>
      </c>
      <c r="T259" s="268" t="s">
        <v>1249</v>
      </c>
    </row>
    <row r="260" spans="2:20" x14ac:dyDescent="0.25">
      <c r="B260" s="10">
        <v>259</v>
      </c>
      <c r="C260" s="81" t="s">
        <v>190</v>
      </c>
      <c r="D260" s="22" t="s">
        <v>837</v>
      </c>
      <c r="E260" s="46" t="s">
        <v>133</v>
      </c>
      <c r="F260" s="191">
        <v>369.23899999999998</v>
      </c>
      <c r="G260" s="170" t="s">
        <v>838</v>
      </c>
      <c r="H260" s="25">
        <v>2008</v>
      </c>
      <c r="I260" s="26">
        <v>44986</v>
      </c>
      <c r="J260" s="49" t="s">
        <v>17</v>
      </c>
      <c r="K260" s="86">
        <v>2008</v>
      </c>
      <c r="L260" s="49" t="s">
        <v>839</v>
      </c>
      <c r="M260" s="27">
        <v>44988</v>
      </c>
      <c r="N260" s="27">
        <f t="shared" si="15"/>
        <v>46815</v>
      </c>
      <c r="O260" s="27" t="str">
        <f>VLOOKUP(F260,'[1]PZ a UTZ'!$E$2:$H$335,3,FALSE)</f>
        <v>PZ 0364/08-E.49</v>
      </c>
      <c r="P260" s="27">
        <f>VLOOKUP(F260,'[1]PZ a UTZ'!$E$2:$H$335,4,FALSE)</f>
        <v>44951</v>
      </c>
      <c r="Q260" s="27">
        <f t="shared" si="14"/>
        <v>46777</v>
      </c>
      <c r="R260" s="242" t="s">
        <v>1530</v>
      </c>
      <c r="S260" s="258">
        <v>725582092</v>
      </c>
      <c r="T260" s="268" t="s">
        <v>1250</v>
      </c>
    </row>
    <row r="261" spans="2:20" x14ac:dyDescent="0.25">
      <c r="B261" s="10">
        <v>260</v>
      </c>
      <c r="C261" s="68" t="s">
        <v>164</v>
      </c>
      <c r="D261" s="22" t="s">
        <v>1362</v>
      </c>
      <c r="E261" s="46" t="s">
        <v>133</v>
      </c>
      <c r="F261" s="69">
        <v>360.053</v>
      </c>
      <c r="G261" s="24"/>
      <c r="H261" s="25">
        <v>2008</v>
      </c>
      <c r="I261" s="55">
        <v>44986</v>
      </c>
      <c r="J261" s="49" t="s">
        <v>17</v>
      </c>
      <c r="K261" s="86">
        <v>2008</v>
      </c>
      <c r="L261" s="26" t="s">
        <v>180</v>
      </c>
      <c r="M261" s="27">
        <v>44988</v>
      </c>
      <c r="N261" s="27">
        <f t="shared" si="15"/>
        <v>46815</v>
      </c>
      <c r="O261" s="27" t="e">
        <f>VLOOKUP(D261,'[1]PZ a UTZ'!B485:G578,5,FALSE)</f>
        <v>#N/A</v>
      </c>
      <c r="P261" s="27" t="e">
        <f>VLOOKUP(D261,'[1]PZ a UTZ'!B485:G578,6,FALSE)</f>
        <v>#N/A</v>
      </c>
      <c r="Q261" s="27" t="e">
        <f t="shared" si="14"/>
        <v>#N/A</v>
      </c>
      <c r="R261" s="242" t="s">
        <v>1530</v>
      </c>
      <c r="S261" s="258">
        <v>725582092</v>
      </c>
      <c r="T261" s="280" t="s">
        <v>992</v>
      </c>
    </row>
    <row r="262" spans="2:20" x14ac:dyDescent="0.25">
      <c r="B262" s="10">
        <v>261</v>
      </c>
      <c r="C262" s="81" t="s">
        <v>190</v>
      </c>
      <c r="D262" s="22" t="s">
        <v>842</v>
      </c>
      <c r="E262" s="46" t="s">
        <v>133</v>
      </c>
      <c r="F262" s="24">
        <v>383.82799999999997</v>
      </c>
      <c r="G262" s="24" t="s">
        <v>843</v>
      </c>
      <c r="H262" s="25">
        <v>2010</v>
      </c>
      <c r="I262" s="55">
        <v>44986</v>
      </c>
      <c r="J262" s="49" t="s">
        <v>17</v>
      </c>
      <c r="K262" s="25">
        <v>2010</v>
      </c>
      <c r="L262" s="26" t="s">
        <v>844</v>
      </c>
      <c r="M262" s="27">
        <v>44991</v>
      </c>
      <c r="N262" s="27">
        <f t="shared" si="15"/>
        <v>46818</v>
      </c>
      <c r="O262" s="27" t="str">
        <f>VLOOKUP(F262,'[1]PZ a UTZ'!$E$2:$H$335,3,FALSE)</f>
        <v>PZ 0196/10-E.49</v>
      </c>
      <c r="P262" s="27">
        <f>VLOOKUP(F262,'[1]PZ a UTZ'!$E$2:$H$335,4,FALSE)</f>
        <v>44966</v>
      </c>
      <c r="Q262" s="27">
        <f t="shared" si="14"/>
        <v>46792</v>
      </c>
      <c r="R262" s="242" t="s">
        <v>1489</v>
      </c>
      <c r="S262" s="258">
        <v>725363407</v>
      </c>
      <c r="T262" s="268" t="s">
        <v>1252</v>
      </c>
    </row>
    <row r="263" spans="2:20" x14ac:dyDescent="0.25">
      <c r="B263" s="10">
        <v>262</v>
      </c>
      <c r="C263" s="68" t="s">
        <v>164</v>
      </c>
      <c r="D263" s="22" t="s">
        <v>1363</v>
      </c>
      <c r="E263" s="46" t="s">
        <v>133</v>
      </c>
      <c r="F263" s="69">
        <v>372.14800000000002</v>
      </c>
      <c r="G263" s="24"/>
      <c r="H263" s="25">
        <v>2008</v>
      </c>
      <c r="I263" s="26">
        <v>44986</v>
      </c>
      <c r="J263" s="49" t="s">
        <v>17</v>
      </c>
      <c r="K263" s="86">
        <v>2008</v>
      </c>
      <c r="L263" s="49" t="s">
        <v>181</v>
      </c>
      <c r="M263" s="27">
        <v>44991</v>
      </c>
      <c r="N263" s="27">
        <f t="shared" si="15"/>
        <v>46818</v>
      </c>
      <c r="O263" s="27" t="e">
        <f>VLOOKUP(D263,'[1]PZ a UTZ'!B486:G579,5,FALSE)</f>
        <v>#N/A</v>
      </c>
      <c r="P263" s="27" t="e">
        <f>VLOOKUP(D263,'[1]PZ a UTZ'!B486:G579,6,FALSE)</f>
        <v>#N/A</v>
      </c>
      <c r="Q263" s="27" t="e">
        <f t="shared" si="14"/>
        <v>#N/A</v>
      </c>
      <c r="R263" s="242" t="s">
        <v>1530</v>
      </c>
      <c r="S263" s="258">
        <v>725582092</v>
      </c>
      <c r="T263" s="280" t="s">
        <v>993</v>
      </c>
    </row>
    <row r="264" spans="2:20" x14ac:dyDescent="0.25">
      <c r="B264" s="10">
        <v>263</v>
      </c>
      <c r="C264" s="68" t="s">
        <v>164</v>
      </c>
      <c r="D264" s="22" t="s">
        <v>1364</v>
      </c>
      <c r="E264" s="46" t="s">
        <v>133</v>
      </c>
      <c r="F264" s="54">
        <v>377.84100000000001</v>
      </c>
      <c r="G264" s="24"/>
      <c r="H264" s="25">
        <v>2008</v>
      </c>
      <c r="I264" s="26">
        <v>44986</v>
      </c>
      <c r="J264" s="49" t="s">
        <v>17</v>
      </c>
      <c r="K264" s="86">
        <v>2008</v>
      </c>
      <c r="L264" s="49" t="s">
        <v>182</v>
      </c>
      <c r="M264" s="27">
        <v>44991</v>
      </c>
      <c r="N264" s="27">
        <f t="shared" si="15"/>
        <v>46818</v>
      </c>
      <c r="O264" s="27" t="e">
        <f>VLOOKUP(D264,'[1]PZ a UTZ'!B487:G580,5,FALSE)</f>
        <v>#N/A</v>
      </c>
      <c r="P264" s="27" t="e">
        <f>VLOOKUP(D264,'[1]PZ a UTZ'!B487:G580,6,FALSE)</f>
        <v>#N/A</v>
      </c>
      <c r="Q264" s="27" t="e">
        <f t="shared" si="14"/>
        <v>#N/A</v>
      </c>
      <c r="R264" s="242" t="s">
        <v>1489</v>
      </c>
      <c r="S264" s="258">
        <v>725363407</v>
      </c>
      <c r="T264" s="280" t="s">
        <v>994</v>
      </c>
    </row>
    <row r="265" spans="2:20" x14ac:dyDescent="0.25">
      <c r="B265" s="10">
        <v>264</v>
      </c>
      <c r="C265" s="117" t="s">
        <v>164</v>
      </c>
      <c r="D265" s="30" t="s">
        <v>1365</v>
      </c>
      <c r="E265" s="72" t="s">
        <v>112</v>
      </c>
      <c r="F265" s="118" t="s">
        <v>1329</v>
      </c>
      <c r="G265" s="84"/>
      <c r="H265" s="99">
        <v>2023</v>
      </c>
      <c r="I265" s="35"/>
      <c r="J265" s="44" t="s">
        <v>42</v>
      </c>
      <c r="K265" s="36">
        <v>2023</v>
      </c>
      <c r="L265" s="35" t="s">
        <v>295</v>
      </c>
      <c r="M265" s="37">
        <v>44993</v>
      </c>
      <c r="N265" s="37">
        <f t="shared" si="15"/>
        <v>46820</v>
      </c>
      <c r="O265" s="37" t="s">
        <v>1597</v>
      </c>
      <c r="P265" s="37">
        <v>44298</v>
      </c>
      <c r="Q265" s="37">
        <f t="shared" si="14"/>
        <v>46124</v>
      </c>
      <c r="R265" s="243" t="s">
        <v>1487</v>
      </c>
      <c r="S265" s="259">
        <v>725339123</v>
      </c>
      <c r="T265" s="286" t="s">
        <v>1663</v>
      </c>
    </row>
    <row r="266" spans="2:20" x14ac:dyDescent="0.25">
      <c r="B266" s="10">
        <v>265</v>
      </c>
      <c r="C266" s="21" t="s">
        <v>190</v>
      </c>
      <c r="D266" s="28" t="s">
        <v>224</v>
      </c>
      <c r="E266" s="23" t="s">
        <v>39</v>
      </c>
      <c r="F266" s="24">
        <v>322.52199999999999</v>
      </c>
      <c r="G266" s="24" t="s">
        <v>225</v>
      </c>
      <c r="H266" s="34">
        <v>1975</v>
      </c>
      <c r="I266" s="55">
        <v>44986</v>
      </c>
      <c r="J266" s="49" t="s">
        <v>120</v>
      </c>
      <c r="K266" s="25">
        <v>2009</v>
      </c>
      <c r="L266" s="26" t="s">
        <v>226</v>
      </c>
      <c r="M266" s="27">
        <v>44998</v>
      </c>
      <c r="N266" s="27">
        <f t="shared" si="15"/>
        <v>46825</v>
      </c>
      <c r="O266" s="27" t="str">
        <f>VLOOKUP(F266,'[1]PZ a UTZ'!$E$2:$H$335,3,FALSE)</f>
        <v>PZ 12023/96-E.49</v>
      </c>
      <c r="P266" s="27">
        <f>VLOOKUP(F266,'[1]PZ a UTZ'!$E$2:$H$335,4,FALSE)</f>
        <v>44998</v>
      </c>
      <c r="Q266" s="27">
        <f t="shared" si="14"/>
        <v>46825</v>
      </c>
      <c r="R266" s="242" t="s">
        <v>1484</v>
      </c>
      <c r="S266" s="258">
        <v>724450266</v>
      </c>
      <c r="T266" s="269" t="s">
        <v>1014</v>
      </c>
    </row>
    <row r="267" spans="2:20" x14ac:dyDescent="0.25">
      <c r="B267" s="10">
        <v>266</v>
      </c>
      <c r="C267" s="21" t="s">
        <v>190</v>
      </c>
      <c r="D267" s="28" t="s">
        <v>924</v>
      </c>
      <c r="E267" s="23" t="s">
        <v>39</v>
      </c>
      <c r="F267" s="24">
        <v>323.27800000000002</v>
      </c>
      <c r="G267" s="24" t="s">
        <v>925</v>
      </c>
      <c r="H267" s="34">
        <v>1975</v>
      </c>
      <c r="I267" s="55">
        <v>44986</v>
      </c>
      <c r="J267" s="49" t="s">
        <v>120</v>
      </c>
      <c r="K267" s="25">
        <v>2009</v>
      </c>
      <c r="L267" s="26" t="s">
        <v>926</v>
      </c>
      <c r="M267" s="27">
        <v>44998</v>
      </c>
      <c r="N267" s="27">
        <f t="shared" si="15"/>
        <v>46825</v>
      </c>
      <c r="O267" s="27" t="s">
        <v>1598</v>
      </c>
      <c r="P267" s="27">
        <v>44998</v>
      </c>
      <c r="Q267" s="27">
        <f t="shared" si="14"/>
        <v>46825</v>
      </c>
      <c r="R267" s="242" t="s">
        <v>1484</v>
      </c>
      <c r="S267" s="258">
        <v>724450266</v>
      </c>
      <c r="T267" s="269" t="s">
        <v>1272</v>
      </c>
    </row>
    <row r="268" spans="2:20" x14ac:dyDescent="0.25">
      <c r="B268" s="10">
        <v>267</v>
      </c>
      <c r="C268" s="21" t="s">
        <v>190</v>
      </c>
      <c r="D268" s="22" t="s">
        <v>221</v>
      </c>
      <c r="E268" s="23" t="s">
        <v>39</v>
      </c>
      <c r="F268" s="24">
        <v>324.20499999999998</v>
      </c>
      <c r="G268" s="24" t="s">
        <v>222</v>
      </c>
      <c r="H268" s="34">
        <v>1975</v>
      </c>
      <c r="I268" s="55">
        <v>44986</v>
      </c>
      <c r="J268" s="49" t="s">
        <v>120</v>
      </c>
      <c r="K268" s="25">
        <v>2009</v>
      </c>
      <c r="L268" s="26" t="s">
        <v>223</v>
      </c>
      <c r="M268" s="27">
        <v>44998</v>
      </c>
      <c r="N268" s="27">
        <f t="shared" si="15"/>
        <v>46825</v>
      </c>
      <c r="O268" s="27" t="str">
        <f>VLOOKUP(F268,'[1]PZ a UTZ'!$E$2:$H$335,3,FALSE)</f>
        <v>PZ 12021/96-E.49</v>
      </c>
      <c r="P268" s="27">
        <f>VLOOKUP(F268,'[1]PZ a UTZ'!$E$2:$H$335,4,FALSE)</f>
        <v>44998</v>
      </c>
      <c r="Q268" s="27">
        <f t="shared" si="14"/>
        <v>46825</v>
      </c>
      <c r="R268" s="242" t="s">
        <v>1484</v>
      </c>
      <c r="S268" s="258">
        <v>724450266</v>
      </c>
      <c r="T268" s="268" t="s">
        <v>1013</v>
      </c>
    </row>
    <row r="269" spans="2:20" x14ac:dyDescent="0.25">
      <c r="B269" s="10">
        <v>268</v>
      </c>
      <c r="C269" s="81" t="s">
        <v>190</v>
      </c>
      <c r="D269" s="22" t="s">
        <v>1366</v>
      </c>
      <c r="E269" s="46" t="s">
        <v>133</v>
      </c>
      <c r="F269" s="24">
        <v>378.10199999999998</v>
      </c>
      <c r="G269" s="24" t="s">
        <v>840</v>
      </c>
      <c r="H269" s="25">
        <v>2008</v>
      </c>
      <c r="I269" s="55">
        <v>44986</v>
      </c>
      <c r="J269" s="49" t="s">
        <v>17</v>
      </c>
      <c r="K269" s="86">
        <v>2008</v>
      </c>
      <c r="L269" s="26" t="s">
        <v>841</v>
      </c>
      <c r="M269" s="27">
        <v>45000</v>
      </c>
      <c r="N269" s="27">
        <f t="shared" si="15"/>
        <v>46827</v>
      </c>
      <c r="O269" s="27" t="str">
        <f>VLOOKUP(F269,'[1]PZ a UTZ'!$E$2:$H$335,3,FALSE)</f>
        <v>PZ 0356/08-E.49</v>
      </c>
      <c r="P269" s="27">
        <f>VLOOKUP(F269,'[1]PZ a UTZ'!$E$2:$H$335,4,FALSE)</f>
        <v>44966</v>
      </c>
      <c r="Q269" s="27">
        <f t="shared" si="14"/>
        <v>46792</v>
      </c>
      <c r="R269" s="242" t="s">
        <v>1489</v>
      </c>
      <c r="S269" s="258">
        <v>725363407</v>
      </c>
      <c r="T269" s="268" t="s">
        <v>1251</v>
      </c>
    </row>
    <row r="270" spans="2:20" x14ac:dyDescent="0.25">
      <c r="B270" s="10">
        <v>269</v>
      </c>
      <c r="C270" s="53" t="s">
        <v>14</v>
      </c>
      <c r="D270" s="22" t="s">
        <v>1367</v>
      </c>
      <c r="E270" s="46" t="s">
        <v>133</v>
      </c>
      <c r="F270" s="54">
        <v>377.84100000000001</v>
      </c>
      <c r="G270" s="47"/>
      <c r="H270" s="25">
        <v>2008</v>
      </c>
      <c r="I270" s="55">
        <v>44986</v>
      </c>
      <c r="J270" s="49" t="s">
        <v>17</v>
      </c>
      <c r="K270" s="86">
        <v>2008</v>
      </c>
      <c r="L270" s="26" t="s">
        <v>139</v>
      </c>
      <c r="M270" s="27">
        <v>45000</v>
      </c>
      <c r="N270" s="27">
        <f t="shared" si="15"/>
        <v>46827</v>
      </c>
      <c r="O270" s="27" t="str">
        <f>VLOOKUP(D270,'[1]PZ a UTZ'!$C$341:$H$464,5,FALSE)</f>
        <v>PZ 0357/08-E.49</v>
      </c>
      <c r="P270" s="27">
        <f>VLOOKUP(D270,'[1]PZ a UTZ'!$C$341:$H$464,6,FALSE)</f>
        <v>44978</v>
      </c>
      <c r="Q270" s="27">
        <f t="shared" si="14"/>
        <v>46804</v>
      </c>
      <c r="R270" s="242" t="s">
        <v>1489</v>
      </c>
      <c r="S270" s="258">
        <v>725363407</v>
      </c>
      <c r="T270" s="274" t="s">
        <v>971</v>
      </c>
    </row>
    <row r="271" spans="2:20" x14ac:dyDescent="0.25">
      <c r="B271" s="10">
        <v>270</v>
      </c>
      <c r="C271" s="57" t="s">
        <v>885</v>
      </c>
      <c r="D271" s="58" t="s">
        <v>1367</v>
      </c>
      <c r="E271" s="59" t="s">
        <v>133</v>
      </c>
      <c r="F271" s="60">
        <v>377.84100000000001</v>
      </c>
      <c r="G271" s="61" t="s">
        <v>1276</v>
      </c>
      <c r="H271" s="62">
        <v>2008</v>
      </c>
      <c r="I271" s="63">
        <v>44986</v>
      </c>
      <c r="J271" s="64" t="s">
        <v>17</v>
      </c>
      <c r="K271" s="70">
        <v>2008</v>
      </c>
      <c r="L271" s="66" t="s">
        <v>890</v>
      </c>
      <c r="M271" s="67">
        <v>45000</v>
      </c>
      <c r="N271" s="67">
        <f t="shared" si="15"/>
        <v>46827</v>
      </c>
      <c r="O271" s="209"/>
      <c r="P271" s="209"/>
      <c r="Q271" s="209"/>
      <c r="R271" s="245" t="s">
        <v>1489</v>
      </c>
      <c r="S271" s="261">
        <v>725363407</v>
      </c>
      <c r="T271" s="275" t="s">
        <v>971</v>
      </c>
    </row>
    <row r="272" spans="2:20" x14ac:dyDescent="0.25">
      <c r="B272" s="10">
        <v>271</v>
      </c>
      <c r="C272" s="81" t="s">
        <v>190</v>
      </c>
      <c r="D272" s="22" t="s">
        <v>27</v>
      </c>
      <c r="E272" s="46" t="s">
        <v>25</v>
      </c>
      <c r="F272" s="24">
        <v>11.217000000000001</v>
      </c>
      <c r="G272" s="24" t="s">
        <v>372</v>
      </c>
      <c r="H272" s="34">
        <v>1979</v>
      </c>
      <c r="I272" s="55">
        <v>44986</v>
      </c>
      <c r="J272" s="26" t="s">
        <v>370</v>
      </c>
      <c r="K272" s="86" t="s">
        <v>373</v>
      </c>
      <c r="L272" s="26" t="s">
        <v>374</v>
      </c>
      <c r="M272" s="27">
        <v>45008</v>
      </c>
      <c r="N272" s="27">
        <f t="shared" si="15"/>
        <v>46835</v>
      </c>
      <c r="O272" s="27" t="str">
        <f>VLOOKUP(F272,'[1]PZ a UTZ'!$E$2:$H$335,3,FALSE)</f>
        <v>PZ 4323/97-E.49</v>
      </c>
      <c r="P272" s="27">
        <f>VLOOKUP(F272,'[1]PZ a UTZ'!$E$2:$H$335,4,FALSE)</f>
        <v>44005</v>
      </c>
      <c r="Q272" s="27">
        <f t="shared" ref="Q272:Q280" si="16">EDATE(P272,60)</f>
        <v>45831</v>
      </c>
      <c r="R272" s="242" t="s">
        <v>1493</v>
      </c>
      <c r="S272" s="258">
        <v>602668264</v>
      </c>
      <c r="T272" s="268" t="s">
        <v>1070</v>
      </c>
    </row>
    <row r="273" spans="2:20" x14ac:dyDescent="0.25">
      <c r="B273" s="10">
        <v>272</v>
      </c>
      <c r="C273" s="71" t="s">
        <v>190</v>
      </c>
      <c r="D273" s="30" t="s">
        <v>152</v>
      </c>
      <c r="E273" s="72" t="s">
        <v>772</v>
      </c>
      <c r="F273" s="73">
        <v>3.222</v>
      </c>
      <c r="G273" s="73" t="s">
        <v>808</v>
      </c>
      <c r="H273" s="89">
        <v>2018</v>
      </c>
      <c r="I273" s="44">
        <v>44986</v>
      </c>
      <c r="J273" s="44" t="s">
        <v>77</v>
      </c>
      <c r="K273" s="36">
        <v>2023</v>
      </c>
      <c r="L273" s="44" t="s">
        <v>295</v>
      </c>
      <c r="M273" s="37">
        <v>45013</v>
      </c>
      <c r="N273" s="37">
        <f t="shared" si="15"/>
        <v>46840</v>
      </c>
      <c r="O273" s="37" t="str">
        <f>VLOOKUP(F273,'[1]PZ a UTZ'!$E$2:$H$335,3,FALSE)</f>
        <v>PZ 0978/18-E.49</v>
      </c>
      <c r="P273" s="37">
        <f>VLOOKUP(F273,'[1]PZ a UTZ'!$E$2:$H$335,4,FALSE)</f>
        <v>45166</v>
      </c>
      <c r="Q273" s="37">
        <f t="shared" si="16"/>
        <v>46993</v>
      </c>
      <c r="R273" s="243" t="s">
        <v>797</v>
      </c>
      <c r="S273" s="259">
        <v>724862387</v>
      </c>
      <c r="T273" s="278" t="s">
        <v>1239</v>
      </c>
    </row>
    <row r="274" spans="2:20" x14ac:dyDescent="0.25">
      <c r="B274" s="10">
        <v>273</v>
      </c>
      <c r="C274" s="71" t="s">
        <v>190</v>
      </c>
      <c r="D274" s="30" t="s">
        <v>809</v>
      </c>
      <c r="E274" s="72" t="s">
        <v>772</v>
      </c>
      <c r="F274" s="73">
        <v>3.9350000000000001</v>
      </c>
      <c r="G274" s="73" t="s">
        <v>810</v>
      </c>
      <c r="H274" s="89">
        <v>2018</v>
      </c>
      <c r="I274" s="44">
        <v>44986</v>
      </c>
      <c r="J274" s="44" t="s">
        <v>77</v>
      </c>
      <c r="K274" s="36">
        <v>2023</v>
      </c>
      <c r="L274" s="44" t="s">
        <v>295</v>
      </c>
      <c r="M274" s="37">
        <v>45013</v>
      </c>
      <c r="N274" s="37">
        <f t="shared" si="15"/>
        <v>46840</v>
      </c>
      <c r="O274" s="37" t="str">
        <f>VLOOKUP(F274,'[1]PZ a UTZ'!$E$2:$H$335,3,FALSE)</f>
        <v>PZ 0979/18-E.49</v>
      </c>
      <c r="P274" s="37">
        <f>VLOOKUP(F274,'[1]PZ a UTZ'!$E$2:$H$335,4,FALSE)</f>
        <v>45166</v>
      </c>
      <c r="Q274" s="37">
        <f t="shared" si="16"/>
        <v>46993</v>
      </c>
      <c r="R274" s="243" t="s">
        <v>797</v>
      </c>
      <c r="S274" s="259">
        <v>724862387</v>
      </c>
      <c r="T274" s="278" t="s">
        <v>1240</v>
      </c>
    </row>
    <row r="275" spans="2:20" x14ac:dyDescent="0.25">
      <c r="B275" s="10">
        <v>274</v>
      </c>
      <c r="C275" s="71" t="s">
        <v>190</v>
      </c>
      <c r="D275" s="30" t="s">
        <v>809</v>
      </c>
      <c r="E275" s="72" t="s">
        <v>772</v>
      </c>
      <c r="F275" s="73">
        <v>5.4749999999999996</v>
      </c>
      <c r="G275" s="73" t="s">
        <v>811</v>
      </c>
      <c r="H275" s="89">
        <v>2018</v>
      </c>
      <c r="I275" s="44">
        <v>44986</v>
      </c>
      <c r="J275" s="44" t="s">
        <v>77</v>
      </c>
      <c r="K275" s="36">
        <v>2023</v>
      </c>
      <c r="L275" s="44" t="s">
        <v>295</v>
      </c>
      <c r="M275" s="37">
        <v>45013</v>
      </c>
      <c r="N275" s="37">
        <f t="shared" si="15"/>
        <v>46840</v>
      </c>
      <c r="O275" s="37" t="str">
        <f>VLOOKUP(F275,'[1]PZ a UTZ'!$E$2:$H$335,3,FALSE)</f>
        <v>PZ 0980/18-E.49</v>
      </c>
      <c r="P275" s="37">
        <f>VLOOKUP(F275,'[1]PZ a UTZ'!$E$2:$H$335,4,FALSE)</f>
        <v>45166</v>
      </c>
      <c r="Q275" s="37">
        <f t="shared" si="16"/>
        <v>46993</v>
      </c>
      <c r="R275" s="243" t="s">
        <v>797</v>
      </c>
      <c r="S275" s="259">
        <v>724862387</v>
      </c>
      <c r="T275" s="278" t="s">
        <v>1241</v>
      </c>
    </row>
    <row r="276" spans="2:20" x14ac:dyDescent="0.25">
      <c r="B276" s="10">
        <v>275</v>
      </c>
      <c r="C276" s="71" t="s">
        <v>190</v>
      </c>
      <c r="D276" s="30" t="s">
        <v>809</v>
      </c>
      <c r="E276" s="72" t="s">
        <v>772</v>
      </c>
      <c r="F276" s="73">
        <v>5.8949999999999996</v>
      </c>
      <c r="G276" s="73" t="s">
        <v>812</v>
      </c>
      <c r="H276" s="89">
        <v>2018</v>
      </c>
      <c r="I276" s="44">
        <v>44986</v>
      </c>
      <c r="J276" s="44" t="s">
        <v>77</v>
      </c>
      <c r="K276" s="36">
        <v>2023</v>
      </c>
      <c r="L276" s="44" t="s">
        <v>295</v>
      </c>
      <c r="M276" s="37">
        <v>45013</v>
      </c>
      <c r="N276" s="37">
        <f t="shared" si="15"/>
        <v>46840</v>
      </c>
      <c r="O276" s="37" t="str">
        <f>VLOOKUP(F276,'[1]PZ a UTZ'!$E$2:$H$335,3,FALSE)</f>
        <v>PZ 0981/18-E.49</v>
      </c>
      <c r="P276" s="37">
        <f>VLOOKUP(F276,'[1]PZ a UTZ'!$E$2:$H$335,4,FALSE)</f>
        <v>45166</v>
      </c>
      <c r="Q276" s="37">
        <f t="shared" si="16"/>
        <v>46993</v>
      </c>
      <c r="R276" s="243" t="s">
        <v>797</v>
      </c>
      <c r="S276" s="259">
        <v>724862387</v>
      </c>
      <c r="T276" s="278" t="s">
        <v>1242</v>
      </c>
    </row>
    <row r="277" spans="2:20" x14ac:dyDescent="0.25">
      <c r="B277" s="10">
        <v>276</v>
      </c>
      <c r="C277" s="71" t="s">
        <v>190</v>
      </c>
      <c r="D277" s="30" t="s">
        <v>809</v>
      </c>
      <c r="E277" s="72" t="s">
        <v>772</v>
      </c>
      <c r="F277" s="73">
        <v>6.4530000000000003</v>
      </c>
      <c r="G277" s="73" t="s">
        <v>813</v>
      </c>
      <c r="H277" s="89">
        <v>2018</v>
      </c>
      <c r="I277" s="44">
        <v>44986</v>
      </c>
      <c r="J277" s="44" t="s">
        <v>77</v>
      </c>
      <c r="K277" s="36">
        <v>2023</v>
      </c>
      <c r="L277" s="44" t="s">
        <v>295</v>
      </c>
      <c r="M277" s="37">
        <v>45013</v>
      </c>
      <c r="N277" s="37">
        <f t="shared" si="15"/>
        <v>46840</v>
      </c>
      <c r="O277" s="37" t="str">
        <f>VLOOKUP(F277,'[1]PZ a UTZ'!$E$2:$H$335,3,FALSE)</f>
        <v>PZ 0982/18-E.49</v>
      </c>
      <c r="P277" s="37">
        <f>VLOOKUP(F277,'[1]PZ a UTZ'!$E$2:$H$335,4,FALSE)</f>
        <v>45166</v>
      </c>
      <c r="Q277" s="37">
        <f t="shared" si="16"/>
        <v>46993</v>
      </c>
      <c r="R277" s="243" t="s">
        <v>797</v>
      </c>
      <c r="S277" s="259">
        <v>724862387</v>
      </c>
      <c r="T277" s="278" t="s">
        <v>1243</v>
      </c>
    </row>
    <row r="278" spans="2:20" x14ac:dyDescent="0.25">
      <c r="B278" s="10">
        <v>277</v>
      </c>
      <c r="C278" s="71" t="s">
        <v>190</v>
      </c>
      <c r="D278" s="30" t="s">
        <v>814</v>
      </c>
      <c r="E278" s="72" t="s">
        <v>772</v>
      </c>
      <c r="F278" s="73">
        <v>9.5630000000000006</v>
      </c>
      <c r="G278" s="73" t="s">
        <v>815</v>
      </c>
      <c r="H278" s="89">
        <v>2018</v>
      </c>
      <c r="I278" s="44">
        <v>44986</v>
      </c>
      <c r="J278" s="44" t="s">
        <v>77</v>
      </c>
      <c r="K278" s="36">
        <v>2023</v>
      </c>
      <c r="L278" s="44" t="s">
        <v>295</v>
      </c>
      <c r="M278" s="37">
        <v>45013</v>
      </c>
      <c r="N278" s="37">
        <f t="shared" si="15"/>
        <v>46840</v>
      </c>
      <c r="O278" s="37" t="str">
        <f>VLOOKUP(F278,'[1]PZ a UTZ'!$E$2:$H$335,3,FALSE)</f>
        <v>PZ 0983/18-E.49</v>
      </c>
      <c r="P278" s="37">
        <f>VLOOKUP(F278,'[1]PZ a UTZ'!$E$2:$H$335,4,FALSE)</f>
        <v>44985</v>
      </c>
      <c r="Q278" s="37">
        <f t="shared" si="16"/>
        <v>46811</v>
      </c>
      <c r="R278" s="243" t="s">
        <v>797</v>
      </c>
      <c r="S278" s="259">
        <v>724862387</v>
      </c>
      <c r="T278" s="278" t="s">
        <v>1244</v>
      </c>
    </row>
    <row r="279" spans="2:20" x14ac:dyDescent="0.25">
      <c r="B279" s="10">
        <v>278</v>
      </c>
      <c r="C279" s="71" t="s">
        <v>190</v>
      </c>
      <c r="D279" s="30" t="s">
        <v>805</v>
      </c>
      <c r="E279" s="72" t="s">
        <v>772</v>
      </c>
      <c r="F279" s="73">
        <v>10.712</v>
      </c>
      <c r="G279" s="73" t="s">
        <v>816</v>
      </c>
      <c r="H279" s="89">
        <v>2018</v>
      </c>
      <c r="I279" s="44">
        <v>44986</v>
      </c>
      <c r="J279" s="44" t="s">
        <v>77</v>
      </c>
      <c r="K279" s="36">
        <v>2023</v>
      </c>
      <c r="L279" s="44" t="s">
        <v>295</v>
      </c>
      <c r="M279" s="37">
        <v>45013</v>
      </c>
      <c r="N279" s="37">
        <f t="shared" si="15"/>
        <v>46840</v>
      </c>
      <c r="O279" s="37" t="str">
        <f>VLOOKUP(F279,'[1]PZ a UTZ'!$E$2:$H$335,3,FALSE)</f>
        <v>PZ 0984/18-E.49</v>
      </c>
      <c r="P279" s="37">
        <f>VLOOKUP(F279,'[1]PZ a UTZ'!$E$2:$H$335,4,FALSE)</f>
        <v>45166</v>
      </c>
      <c r="Q279" s="37">
        <f t="shared" si="16"/>
        <v>46993</v>
      </c>
      <c r="R279" s="243" t="s">
        <v>797</v>
      </c>
      <c r="S279" s="259">
        <v>724862387</v>
      </c>
      <c r="T279" s="278" t="s">
        <v>1245</v>
      </c>
    </row>
    <row r="280" spans="2:20" x14ac:dyDescent="0.25">
      <c r="B280" s="10">
        <v>279</v>
      </c>
      <c r="C280" s="45" t="s">
        <v>190</v>
      </c>
      <c r="D280" s="22" t="s">
        <v>62</v>
      </c>
      <c r="E280" s="46" t="s">
        <v>63</v>
      </c>
      <c r="F280" s="47">
        <v>117.86</v>
      </c>
      <c r="G280" s="47" t="s">
        <v>421</v>
      </c>
      <c r="H280" s="95">
        <v>1975</v>
      </c>
      <c r="I280" s="26">
        <v>45017</v>
      </c>
      <c r="J280" s="49" t="s">
        <v>46</v>
      </c>
      <c r="K280" s="48">
        <v>2004</v>
      </c>
      <c r="L280" s="49" t="s">
        <v>422</v>
      </c>
      <c r="M280" s="27">
        <v>45040</v>
      </c>
      <c r="N280" s="27">
        <f t="shared" si="15"/>
        <v>46867</v>
      </c>
      <c r="O280" s="27" t="s">
        <v>1599</v>
      </c>
      <c r="P280" s="27">
        <v>44951</v>
      </c>
      <c r="Q280" s="27">
        <f t="shared" si="16"/>
        <v>46777</v>
      </c>
      <c r="R280" s="242" t="s">
        <v>1497</v>
      </c>
      <c r="S280" s="258">
        <v>724862430</v>
      </c>
      <c r="T280" s="274" t="s">
        <v>1088</v>
      </c>
    </row>
    <row r="281" spans="2:20" x14ac:dyDescent="0.25">
      <c r="B281" s="10">
        <v>280</v>
      </c>
      <c r="C281" s="53" t="s">
        <v>14</v>
      </c>
      <c r="D281" s="22" t="s">
        <v>20</v>
      </c>
      <c r="E281" s="46" t="s">
        <v>15</v>
      </c>
      <c r="F281" s="54">
        <v>350.66699999999997</v>
      </c>
      <c r="G281" s="47"/>
      <c r="H281" s="95">
        <v>2012</v>
      </c>
      <c r="I281" s="49">
        <v>45017</v>
      </c>
      <c r="J281" s="49" t="s">
        <v>17</v>
      </c>
      <c r="K281" s="56">
        <v>2018</v>
      </c>
      <c r="L281" s="49" t="s">
        <v>21</v>
      </c>
      <c r="M281" s="27">
        <v>45041</v>
      </c>
      <c r="N281" s="27">
        <f t="shared" si="15"/>
        <v>46868</v>
      </c>
      <c r="O281" s="209"/>
      <c r="P281" s="209"/>
      <c r="Q281" s="209"/>
      <c r="R281" s="242" t="s">
        <v>1511</v>
      </c>
      <c r="S281" s="258">
        <v>603418035</v>
      </c>
      <c r="T281" s="276" t="s">
        <v>1664</v>
      </c>
    </row>
    <row r="282" spans="2:20" x14ac:dyDescent="0.25">
      <c r="B282" s="10">
        <v>281</v>
      </c>
      <c r="C282" s="57" t="s">
        <v>885</v>
      </c>
      <c r="D282" s="58" t="s">
        <v>20</v>
      </c>
      <c r="E282" s="59" t="s">
        <v>15</v>
      </c>
      <c r="F282" s="60">
        <v>350.66699999999997</v>
      </c>
      <c r="G282" s="112" t="s">
        <v>1276</v>
      </c>
      <c r="H282" s="62">
        <v>2018</v>
      </c>
      <c r="I282" s="64">
        <v>45017</v>
      </c>
      <c r="J282" s="64" t="s">
        <v>17</v>
      </c>
      <c r="K282" s="113">
        <v>2018</v>
      </c>
      <c r="L282" s="96" t="s">
        <v>21</v>
      </c>
      <c r="M282" s="97">
        <v>45041</v>
      </c>
      <c r="N282" s="97">
        <f t="shared" si="15"/>
        <v>46868</v>
      </c>
      <c r="O282" s="209"/>
      <c r="P282" s="209"/>
      <c r="Q282" s="209"/>
      <c r="R282" s="245" t="s">
        <v>1511</v>
      </c>
      <c r="S282" s="261">
        <v>603418035</v>
      </c>
      <c r="T282" s="284" t="s">
        <v>1664</v>
      </c>
    </row>
    <row r="283" spans="2:20" x14ac:dyDescent="0.25">
      <c r="B283" s="10">
        <v>282</v>
      </c>
      <c r="C283" s="90" t="s">
        <v>90</v>
      </c>
      <c r="D283" s="22" t="s">
        <v>760</v>
      </c>
      <c r="E283" s="51" t="s">
        <v>761</v>
      </c>
      <c r="F283" s="54">
        <v>9.3610000000000007</v>
      </c>
      <c r="G283" s="47" t="s">
        <v>1284</v>
      </c>
      <c r="H283" s="48">
        <v>1970</v>
      </c>
      <c r="I283" s="49">
        <v>45078</v>
      </c>
      <c r="J283" s="49" t="s">
        <v>124</v>
      </c>
      <c r="K283" s="56">
        <v>2018</v>
      </c>
      <c r="L283" s="49" t="s">
        <v>883</v>
      </c>
      <c r="M283" s="27">
        <v>45044</v>
      </c>
      <c r="N283" s="27">
        <f t="shared" si="15"/>
        <v>46871</v>
      </c>
      <c r="O283" s="27" t="s">
        <v>1600</v>
      </c>
      <c r="P283" s="27">
        <v>44400</v>
      </c>
      <c r="Q283" s="27">
        <f>EDATE(P283,60)</f>
        <v>46226</v>
      </c>
      <c r="R283" s="242" t="s">
        <v>1492</v>
      </c>
      <c r="S283" s="258">
        <v>724214647</v>
      </c>
      <c r="T283" s="274" t="s">
        <v>1665</v>
      </c>
    </row>
    <row r="284" spans="2:20" x14ac:dyDescent="0.25">
      <c r="B284" s="10">
        <v>283</v>
      </c>
      <c r="C284" s="53" t="s">
        <v>14</v>
      </c>
      <c r="D284" s="22" t="s">
        <v>54</v>
      </c>
      <c r="E284" s="46" t="s">
        <v>53</v>
      </c>
      <c r="F284" s="54">
        <v>86.888000000000005</v>
      </c>
      <c r="G284" s="47"/>
      <c r="H284" s="48">
        <v>2011</v>
      </c>
      <c r="I284" s="49">
        <v>45017</v>
      </c>
      <c r="J284" s="49" t="s">
        <v>17</v>
      </c>
      <c r="K284" s="56">
        <v>2011</v>
      </c>
      <c r="L284" s="49" t="s">
        <v>55</v>
      </c>
      <c r="M284" s="27">
        <v>45044</v>
      </c>
      <c r="N284" s="27">
        <f t="shared" si="15"/>
        <v>46871</v>
      </c>
      <c r="O284" s="27" t="str">
        <f>VLOOKUP(D284,'[1]PZ a UTZ'!$C$341:$H$464,5,FALSE)</f>
        <v>PZ 0708/13-E.49</v>
      </c>
      <c r="P284" s="27">
        <f>VLOOKUP(D284,'[1]PZ a UTZ'!$C$341:$H$464,6,FALSE)</f>
        <v>44804</v>
      </c>
      <c r="Q284" s="27">
        <f>EDATE(P284,60)</f>
        <v>46630</v>
      </c>
      <c r="R284" s="242" t="s">
        <v>1534</v>
      </c>
      <c r="S284" s="258">
        <v>725138711</v>
      </c>
      <c r="T284" s="274" t="s">
        <v>935</v>
      </c>
    </row>
    <row r="285" spans="2:20" x14ac:dyDescent="0.25">
      <c r="B285" s="10">
        <v>284</v>
      </c>
      <c r="C285" s="57" t="s">
        <v>885</v>
      </c>
      <c r="D285" s="58" t="s">
        <v>54</v>
      </c>
      <c r="E285" s="59" t="s">
        <v>53</v>
      </c>
      <c r="F285" s="60">
        <v>0.34799999999999998</v>
      </c>
      <c r="G285" s="112" t="s">
        <v>1276</v>
      </c>
      <c r="H285" s="62">
        <v>2011</v>
      </c>
      <c r="I285" s="64">
        <v>45017</v>
      </c>
      <c r="J285" s="64" t="s">
        <v>17</v>
      </c>
      <c r="K285" s="113">
        <v>2011</v>
      </c>
      <c r="L285" s="96" t="s">
        <v>55</v>
      </c>
      <c r="M285" s="97">
        <v>45044</v>
      </c>
      <c r="N285" s="97">
        <f t="shared" si="15"/>
        <v>46871</v>
      </c>
      <c r="O285" s="209"/>
      <c r="P285" s="209"/>
      <c r="Q285" s="209"/>
      <c r="R285" s="245" t="s">
        <v>1534</v>
      </c>
      <c r="S285" s="261">
        <v>725138711</v>
      </c>
      <c r="T285" s="275" t="s">
        <v>935</v>
      </c>
    </row>
    <row r="286" spans="2:20" x14ac:dyDescent="0.25">
      <c r="B286" s="10">
        <v>285</v>
      </c>
      <c r="C286" s="71" t="s">
        <v>190</v>
      </c>
      <c r="D286" s="30" t="s">
        <v>738</v>
      </c>
      <c r="E286" s="72" t="s">
        <v>112</v>
      </c>
      <c r="F286" s="73">
        <v>57.204000000000001</v>
      </c>
      <c r="G286" s="73" t="s">
        <v>735</v>
      </c>
      <c r="H286" s="89">
        <v>1996</v>
      </c>
      <c r="I286" s="44">
        <v>45047</v>
      </c>
      <c r="J286" s="44" t="s">
        <v>49</v>
      </c>
      <c r="K286" s="36">
        <v>2023</v>
      </c>
      <c r="L286" s="44" t="s">
        <v>295</v>
      </c>
      <c r="M286" s="37">
        <v>45051</v>
      </c>
      <c r="N286" s="37">
        <f t="shared" si="15"/>
        <v>46878</v>
      </c>
      <c r="O286" s="37" t="str">
        <f>VLOOKUP(F286,'[1]PZ a UTZ'!$E$2:$H$335,3,FALSE)</f>
        <v>PZ 2519/96-E.49</v>
      </c>
      <c r="P286" s="37">
        <f>VLOOKUP(F286,'[1]PZ a UTZ'!$E$2:$H$335,4,FALSE)</f>
        <v>45062</v>
      </c>
      <c r="Q286" s="37">
        <f t="shared" ref="Q286:Q314" si="17">EDATE(P286,60)</f>
        <v>46889</v>
      </c>
      <c r="R286" s="243" t="s">
        <v>1487</v>
      </c>
      <c r="S286" s="259">
        <v>725339123</v>
      </c>
      <c r="T286" s="278" t="s">
        <v>1214</v>
      </c>
    </row>
    <row r="287" spans="2:20" x14ac:dyDescent="0.25">
      <c r="B287" s="10">
        <v>286</v>
      </c>
      <c r="C287" s="45" t="s">
        <v>190</v>
      </c>
      <c r="D287" s="28" t="s">
        <v>713</v>
      </c>
      <c r="E287" s="46" t="s">
        <v>112</v>
      </c>
      <c r="F287" s="47">
        <v>47.084000000000003</v>
      </c>
      <c r="G287" s="47" t="s">
        <v>714</v>
      </c>
      <c r="H287" s="95">
        <v>1976</v>
      </c>
      <c r="I287" s="49">
        <v>45047</v>
      </c>
      <c r="J287" s="96" t="s">
        <v>715</v>
      </c>
      <c r="K287" s="184" t="s">
        <v>716</v>
      </c>
      <c r="L287" s="96" t="s">
        <v>717</v>
      </c>
      <c r="M287" s="97">
        <v>45065</v>
      </c>
      <c r="N287" s="27">
        <f t="shared" si="15"/>
        <v>46892</v>
      </c>
      <c r="O287" s="27" t="str">
        <f>VLOOKUP(F287,'[1]PZ a UTZ'!$E$2:$H$335,3,FALSE)</f>
        <v>PZ 10159/96-E.49</v>
      </c>
      <c r="P287" s="27">
        <f>VLOOKUP(F287,'[1]PZ a UTZ'!$E$2:$H$335,4,FALSE)</f>
        <v>44150</v>
      </c>
      <c r="Q287" s="27">
        <f t="shared" si="17"/>
        <v>45976</v>
      </c>
      <c r="R287" s="242" t="s">
        <v>1487</v>
      </c>
      <c r="S287" s="258">
        <v>725339123</v>
      </c>
      <c r="T287" s="273" t="s">
        <v>1204</v>
      </c>
    </row>
    <row r="288" spans="2:20" x14ac:dyDescent="0.25">
      <c r="B288" s="10">
        <v>287</v>
      </c>
      <c r="C288" s="71" t="s">
        <v>190</v>
      </c>
      <c r="D288" s="30" t="s">
        <v>726</v>
      </c>
      <c r="E288" s="72" t="s">
        <v>112</v>
      </c>
      <c r="F288" s="73">
        <v>54.959000000000003</v>
      </c>
      <c r="G288" s="73" t="s">
        <v>733</v>
      </c>
      <c r="H288" s="89">
        <v>2023</v>
      </c>
      <c r="I288" s="44">
        <v>45047</v>
      </c>
      <c r="J288" s="44" t="s">
        <v>49</v>
      </c>
      <c r="K288" s="36">
        <v>2023</v>
      </c>
      <c r="L288" s="44" t="s">
        <v>295</v>
      </c>
      <c r="M288" s="192">
        <v>45065</v>
      </c>
      <c r="N288" s="192">
        <f t="shared" si="15"/>
        <v>46892</v>
      </c>
      <c r="O288" s="37" t="str">
        <f>VLOOKUP(F288,'[1]PZ a UTZ'!$E$2:$H$335,3,FALSE)</f>
        <v>PZ 0939/23-E.49</v>
      </c>
      <c r="P288" s="37">
        <f>VLOOKUP(F288,'[1]PZ a UTZ'!$E$2:$H$335,4,FALSE)</f>
        <v>45068</v>
      </c>
      <c r="Q288" s="37">
        <f t="shared" si="17"/>
        <v>46895</v>
      </c>
      <c r="R288" s="243" t="s">
        <v>1487</v>
      </c>
      <c r="S288" s="259">
        <v>725339123</v>
      </c>
      <c r="T288" s="278" t="s">
        <v>1211</v>
      </c>
    </row>
    <row r="289" spans="2:20" x14ac:dyDescent="0.25">
      <c r="B289" s="10">
        <v>288</v>
      </c>
      <c r="C289" s="81" t="s">
        <v>190</v>
      </c>
      <c r="D289" s="22" t="s">
        <v>30</v>
      </c>
      <c r="E289" s="46" t="s">
        <v>25</v>
      </c>
      <c r="F289" s="24">
        <v>26.539000000000001</v>
      </c>
      <c r="G289" s="24" t="s">
        <v>384</v>
      </c>
      <c r="H289" s="25">
        <v>1974</v>
      </c>
      <c r="I289" s="49">
        <v>45047</v>
      </c>
      <c r="J289" s="49" t="s">
        <v>120</v>
      </c>
      <c r="K289" s="56">
        <v>1973</v>
      </c>
      <c r="L289" s="49" t="s">
        <v>385</v>
      </c>
      <c r="M289" s="27">
        <v>45070</v>
      </c>
      <c r="N289" s="27">
        <f t="shared" si="15"/>
        <v>46897</v>
      </c>
      <c r="O289" s="27" t="str">
        <f>VLOOKUP(F289,'[1]PZ a UTZ'!$E$2:$H$335,3,FALSE)</f>
        <v>PZ 4329/97-E.49</v>
      </c>
      <c r="P289" s="27">
        <f>VLOOKUP(F289,'[1]PZ a UTZ'!$E$2:$H$335,4,FALSE)</f>
        <v>44005</v>
      </c>
      <c r="Q289" s="27">
        <f t="shared" si="17"/>
        <v>45831</v>
      </c>
      <c r="R289" s="242" t="s">
        <v>1494</v>
      </c>
      <c r="S289" s="258">
        <v>602117762</v>
      </c>
      <c r="T289" s="268" t="s">
        <v>1075</v>
      </c>
    </row>
    <row r="290" spans="2:20" x14ac:dyDescent="0.25">
      <c r="B290" s="10">
        <v>289</v>
      </c>
      <c r="C290" s="75" t="s">
        <v>190</v>
      </c>
      <c r="D290" s="22" t="s">
        <v>391</v>
      </c>
      <c r="E290" s="76" t="s">
        <v>25</v>
      </c>
      <c r="F290" s="77">
        <v>142.697</v>
      </c>
      <c r="G290" s="77" t="s">
        <v>392</v>
      </c>
      <c r="H290" s="78">
        <v>1998</v>
      </c>
      <c r="I290" s="79">
        <v>45047</v>
      </c>
      <c r="J290" s="79" t="s">
        <v>393</v>
      </c>
      <c r="K290" s="193" t="s">
        <v>394</v>
      </c>
      <c r="L290" s="79" t="s">
        <v>395</v>
      </c>
      <c r="M290" s="27">
        <v>45070</v>
      </c>
      <c r="N290" s="27">
        <f t="shared" si="15"/>
        <v>46897</v>
      </c>
      <c r="O290" s="27" t="str">
        <f>VLOOKUP(F290,'[1]PZ a UTZ'!$E$2:$H$335,3,FALSE)</f>
        <v>PZ 2047/98-E.49</v>
      </c>
      <c r="P290" s="27">
        <f>VLOOKUP(F290,'[1]PZ a UTZ'!$E$2:$H$335,4,FALSE)</f>
        <v>45007</v>
      </c>
      <c r="Q290" s="27">
        <f t="shared" si="17"/>
        <v>46834</v>
      </c>
      <c r="R290" s="242" t="s">
        <v>1493</v>
      </c>
      <c r="S290" s="258">
        <v>602668264</v>
      </c>
      <c r="T290" s="279" t="s">
        <v>1078</v>
      </c>
    </row>
    <row r="291" spans="2:20" x14ac:dyDescent="0.25">
      <c r="B291" s="10">
        <v>290</v>
      </c>
      <c r="C291" s="155" t="s">
        <v>14</v>
      </c>
      <c r="D291" s="22" t="s">
        <v>805</v>
      </c>
      <c r="E291" s="46" t="s">
        <v>772</v>
      </c>
      <c r="F291" s="54">
        <v>11.742000000000001</v>
      </c>
      <c r="G291" s="47"/>
      <c r="H291" s="48">
        <v>1996</v>
      </c>
      <c r="I291" s="49">
        <v>45047</v>
      </c>
      <c r="J291" s="49" t="s">
        <v>879</v>
      </c>
      <c r="K291" s="56" t="s">
        <v>880</v>
      </c>
      <c r="L291" s="49" t="s">
        <v>881</v>
      </c>
      <c r="M291" s="27">
        <v>45076</v>
      </c>
      <c r="N291" s="27">
        <f t="shared" si="15"/>
        <v>46903</v>
      </c>
      <c r="O291" s="27" t="str">
        <f>VLOOKUP(D291,'[1]PZ a UTZ'!$C$341:$H$464,5,FALSE)</f>
        <v>PZ 2650/96-E.49</v>
      </c>
      <c r="P291" s="27">
        <f>VLOOKUP(D291,'[1]PZ a UTZ'!$C$341:$H$464,6,FALSE)</f>
        <v>45105</v>
      </c>
      <c r="Q291" s="27">
        <f t="shared" si="17"/>
        <v>46932</v>
      </c>
      <c r="R291" s="242" t="s">
        <v>1591</v>
      </c>
      <c r="S291" s="258">
        <v>724862387</v>
      </c>
      <c r="T291" s="274" t="s">
        <v>1264</v>
      </c>
    </row>
    <row r="292" spans="2:20" x14ac:dyDescent="0.25">
      <c r="B292" s="10">
        <v>291</v>
      </c>
      <c r="C292" s="45" t="s">
        <v>190</v>
      </c>
      <c r="D292" s="22" t="s">
        <v>537</v>
      </c>
      <c r="E292" s="46" t="s">
        <v>94</v>
      </c>
      <c r="F292" s="47">
        <v>80.644999999999996</v>
      </c>
      <c r="G292" s="47" t="s">
        <v>538</v>
      </c>
      <c r="H292" s="95">
        <v>1993</v>
      </c>
      <c r="I292" s="49">
        <v>45047</v>
      </c>
      <c r="J292" s="49" t="s">
        <v>534</v>
      </c>
      <c r="K292" s="56" t="s">
        <v>535</v>
      </c>
      <c r="L292" s="49" t="s">
        <v>539</v>
      </c>
      <c r="M292" s="27">
        <v>45078</v>
      </c>
      <c r="N292" s="27">
        <f t="shared" si="15"/>
        <v>46905</v>
      </c>
      <c r="O292" s="27" t="str">
        <f>VLOOKUP(F292,'[1]PZ a UTZ'!$E$2:$H$335,3,FALSE)</f>
        <v>PZ 10153/96-E.49</v>
      </c>
      <c r="P292" s="27">
        <f>VLOOKUP(F292,'[1]PZ a UTZ'!$E$2:$H$335,4,FALSE)</f>
        <v>45091</v>
      </c>
      <c r="Q292" s="27">
        <f t="shared" si="17"/>
        <v>46918</v>
      </c>
      <c r="R292" s="242" t="s">
        <v>1601</v>
      </c>
      <c r="S292" s="258">
        <v>724214556</v>
      </c>
      <c r="T292" s="274" t="s">
        <v>1134</v>
      </c>
    </row>
    <row r="293" spans="2:20" x14ac:dyDescent="0.25">
      <c r="B293" s="10">
        <v>292</v>
      </c>
      <c r="C293" s="45" t="s">
        <v>190</v>
      </c>
      <c r="D293" s="22" t="s">
        <v>96</v>
      </c>
      <c r="E293" s="46" t="s">
        <v>94</v>
      </c>
      <c r="F293" s="47">
        <v>82.24</v>
      </c>
      <c r="G293" s="47" t="s">
        <v>533</v>
      </c>
      <c r="H293" s="95">
        <v>1993</v>
      </c>
      <c r="I293" s="49">
        <v>45047</v>
      </c>
      <c r="J293" s="49" t="s">
        <v>534</v>
      </c>
      <c r="K293" s="56" t="s">
        <v>535</v>
      </c>
      <c r="L293" s="49" t="s">
        <v>536</v>
      </c>
      <c r="M293" s="27">
        <v>45078</v>
      </c>
      <c r="N293" s="27">
        <f t="shared" si="15"/>
        <v>46905</v>
      </c>
      <c r="O293" s="27" t="str">
        <f>VLOOKUP(D293,'[1]PZ a UTZ'!$C$341:$H$464,5,FALSE)</f>
        <v>PZ 1785/09-E.49</v>
      </c>
      <c r="P293" s="27">
        <f>VLOOKUP(D293,'[1]PZ a UTZ'!$C$341:$H$464,6,FALSE)</f>
        <v>43734</v>
      </c>
      <c r="Q293" s="27">
        <f t="shared" si="17"/>
        <v>45561</v>
      </c>
      <c r="R293" s="242" t="s">
        <v>1601</v>
      </c>
      <c r="S293" s="258">
        <v>724214556</v>
      </c>
      <c r="T293" s="274" t="s">
        <v>1133</v>
      </c>
    </row>
    <row r="294" spans="2:20" x14ac:dyDescent="0.25">
      <c r="B294" s="10">
        <v>293</v>
      </c>
      <c r="C294" s="45" t="s">
        <v>190</v>
      </c>
      <c r="D294" s="22" t="s">
        <v>65</v>
      </c>
      <c r="E294" s="46" t="s">
        <v>63</v>
      </c>
      <c r="F294" s="47">
        <v>123.613</v>
      </c>
      <c r="G294" s="47" t="s">
        <v>431</v>
      </c>
      <c r="H294" s="48">
        <v>2008</v>
      </c>
      <c r="I294" s="49">
        <v>45078</v>
      </c>
      <c r="J294" s="49" t="s">
        <v>46</v>
      </c>
      <c r="K294" s="48">
        <v>2008</v>
      </c>
      <c r="L294" s="49" t="s">
        <v>432</v>
      </c>
      <c r="M294" s="27">
        <v>45078</v>
      </c>
      <c r="N294" s="27">
        <f t="shared" si="15"/>
        <v>46905</v>
      </c>
      <c r="O294" s="27" t="s">
        <v>1602</v>
      </c>
      <c r="P294" s="27">
        <v>45187</v>
      </c>
      <c r="Q294" s="27">
        <f t="shared" si="17"/>
        <v>47014</v>
      </c>
      <c r="R294" s="242" t="s">
        <v>1532</v>
      </c>
      <c r="S294" s="258">
        <v>725339118</v>
      </c>
      <c r="T294" s="274" t="s">
        <v>1092</v>
      </c>
    </row>
    <row r="295" spans="2:20" x14ac:dyDescent="0.25">
      <c r="B295" s="10">
        <v>294</v>
      </c>
      <c r="C295" s="45" t="s">
        <v>190</v>
      </c>
      <c r="D295" s="22" t="s">
        <v>739</v>
      </c>
      <c r="E295" s="51" t="s">
        <v>92</v>
      </c>
      <c r="F295" s="47">
        <v>4.5960000000000001</v>
      </c>
      <c r="G295" s="47" t="s">
        <v>740</v>
      </c>
      <c r="H295" s="56">
        <v>2008</v>
      </c>
      <c r="I295" s="49">
        <v>45078</v>
      </c>
      <c r="J295" s="49" t="s">
        <v>120</v>
      </c>
      <c r="K295" s="56">
        <v>2008</v>
      </c>
      <c r="L295" s="49" t="s">
        <v>741</v>
      </c>
      <c r="M295" s="27">
        <v>45079</v>
      </c>
      <c r="N295" s="27">
        <f t="shared" si="15"/>
        <v>46906</v>
      </c>
      <c r="O295" s="27" t="str">
        <f>VLOOKUP(F295,'[1]PZ a UTZ'!$E$2:$H$335,3,FALSE)</f>
        <v>PZ 0344/08-E.49</v>
      </c>
      <c r="P295" s="27">
        <f>VLOOKUP(F295,'[1]PZ a UTZ'!$E$2:$H$335,4,FALSE)</f>
        <v>45106</v>
      </c>
      <c r="Q295" s="27">
        <f t="shared" si="17"/>
        <v>46933</v>
      </c>
      <c r="R295" s="242" t="s">
        <v>1505</v>
      </c>
      <c r="S295" s="258">
        <v>724644317</v>
      </c>
      <c r="T295" s="274" t="s">
        <v>1215</v>
      </c>
    </row>
    <row r="296" spans="2:20" x14ac:dyDescent="0.25">
      <c r="B296" s="10">
        <v>295</v>
      </c>
      <c r="C296" s="92" t="s">
        <v>190</v>
      </c>
      <c r="D296" s="22" t="s">
        <v>767</v>
      </c>
      <c r="E296" s="51" t="s">
        <v>768</v>
      </c>
      <c r="F296" s="47">
        <v>9.4260000000000002</v>
      </c>
      <c r="G296" s="47" t="s">
        <v>769</v>
      </c>
      <c r="H296" s="56">
        <v>2013</v>
      </c>
      <c r="I296" s="49">
        <v>45078</v>
      </c>
      <c r="J296" s="49" t="s">
        <v>124</v>
      </c>
      <c r="K296" s="56">
        <v>2013</v>
      </c>
      <c r="L296" s="49" t="s">
        <v>770</v>
      </c>
      <c r="M296" s="27">
        <v>45079</v>
      </c>
      <c r="N296" s="27">
        <f t="shared" si="15"/>
        <v>46906</v>
      </c>
      <c r="O296" s="27" t="str">
        <f>VLOOKUP(F296,'[1]PZ a UTZ'!$E$2:$H$335,3,FALSE)</f>
        <v>PZ 1079/13-E.49</v>
      </c>
      <c r="P296" s="27">
        <v>45105</v>
      </c>
      <c r="Q296" s="27">
        <f t="shared" si="17"/>
        <v>46932</v>
      </c>
      <c r="R296" s="242" t="s">
        <v>1497</v>
      </c>
      <c r="S296" s="258">
        <v>724862430</v>
      </c>
      <c r="T296" s="274" t="s">
        <v>1666</v>
      </c>
    </row>
    <row r="297" spans="2:20" x14ac:dyDescent="0.25">
      <c r="B297" s="10">
        <v>296</v>
      </c>
      <c r="C297" s="45" t="s">
        <v>190</v>
      </c>
      <c r="D297" s="22" t="s">
        <v>87</v>
      </c>
      <c r="E297" s="46" t="s">
        <v>63</v>
      </c>
      <c r="F297" s="47">
        <v>180.09700000000001</v>
      </c>
      <c r="G297" s="47" t="s">
        <v>513</v>
      </c>
      <c r="H297" s="95">
        <v>1993</v>
      </c>
      <c r="I297" s="49">
        <v>45078</v>
      </c>
      <c r="J297" s="49" t="s">
        <v>46</v>
      </c>
      <c r="K297" s="56">
        <v>2012</v>
      </c>
      <c r="L297" s="49" t="s">
        <v>514</v>
      </c>
      <c r="M297" s="27">
        <v>45079</v>
      </c>
      <c r="N297" s="27">
        <f t="shared" si="15"/>
        <v>46906</v>
      </c>
      <c r="O297" s="27" t="s">
        <v>1603</v>
      </c>
      <c r="P297" s="27">
        <v>44428</v>
      </c>
      <c r="Q297" s="27">
        <f t="shared" si="17"/>
        <v>46254</v>
      </c>
      <c r="R297" s="242" t="s">
        <v>1483</v>
      </c>
      <c r="S297" s="258">
        <v>724214678</v>
      </c>
      <c r="T297" s="274" t="s">
        <v>1125</v>
      </c>
    </row>
    <row r="298" spans="2:20" x14ac:dyDescent="0.25">
      <c r="B298" s="10">
        <v>297</v>
      </c>
      <c r="C298" s="45" t="s">
        <v>190</v>
      </c>
      <c r="D298" s="22" t="s">
        <v>87</v>
      </c>
      <c r="E298" s="46" t="s">
        <v>63</v>
      </c>
      <c r="F298" s="47">
        <v>180.64</v>
      </c>
      <c r="G298" s="47" t="s">
        <v>515</v>
      </c>
      <c r="H298" s="95">
        <v>1993</v>
      </c>
      <c r="I298" s="49">
        <v>45078</v>
      </c>
      <c r="J298" s="49" t="s">
        <v>46</v>
      </c>
      <c r="K298" s="56">
        <v>2012</v>
      </c>
      <c r="L298" s="49" t="s">
        <v>516</v>
      </c>
      <c r="M298" s="27">
        <v>45079</v>
      </c>
      <c r="N298" s="27">
        <f t="shared" si="15"/>
        <v>46906</v>
      </c>
      <c r="O298" s="27" t="s">
        <v>1604</v>
      </c>
      <c r="P298" s="27">
        <v>44428</v>
      </c>
      <c r="Q298" s="27">
        <f t="shared" si="17"/>
        <v>46254</v>
      </c>
      <c r="R298" s="242" t="s">
        <v>1483</v>
      </c>
      <c r="S298" s="258">
        <v>724214678</v>
      </c>
      <c r="T298" s="274" t="s">
        <v>1126</v>
      </c>
    </row>
    <row r="299" spans="2:20" x14ac:dyDescent="0.25">
      <c r="B299" s="10">
        <v>298</v>
      </c>
      <c r="C299" s="71" t="s">
        <v>190</v>
      </c>
      <c r="D299" s="30" t="s">
        <v>579</v>
      </c>
      <c r="E299" s="72" t="s">
        <v>94</v>
      </c>
      <c r="F299" s="73">
        <v>62.585999999999999</v>
      </c>
      <c r="G299" s="73" t="s">
        <v>580</v>
      </c>
      <c r="H299" s="89">
        <v>1995</v>
      </c>
      <c r="I299" s="35">
        <v>44713</v>
      </c>
      <c r="J299" s="44" t="s">
        <v>49</v>
      </c>
      <c r="K299" s="85">
        <v>2023</v>
      </c>
      <c r="L299" s="44" t="s">
        <v>295</v>
      </c>
      <c r="M299" s="37">
        <v>45083</v>
      </c>
      <c r="N299" s="37">
        <f t="shared" si="15"/>
        <v>46910</v>
      </c>
      <c r="O299" s="37" t="str">
        <f>VLOOKUP(F299,'[1]PZ a UTZ'!$E$2:$H$335,3,FALSE)</f>
        <v>PZ 0380/95-E.49</v>
      </c>
      <c r="P299" s="37">
        <f>VLOOKUP(F299,'[1]PZ a UTZ'!$E$2:$H$335,4,FALSE)</f>
        <v>43731</v>
      </c>
      <c r="Q299" s="37">
        <f t="shared" si="17"/>
        <v>45558</v>
      </c>
      <c r="R299" s="243" t="s">
        <v>1510</v>
      </c>
      <c r="S299" s="259">
        <v>602282288</v>
      </c>
      <c r="T299" s="278" t="s">
        <v>1148</v>
      </c>
    </row>
    <row r="300" spans="2:20" x14ac:dyDescent="0.25">
      <c r="B300" s="10">
        <v>299</v>
      </c>
      <c r="C300" s="29" t="s">
        <v>190</v>
      </c>
      <c r="D300" s="30" t="s">
        <v>292</v>
      </c>
      <c r="E300" s="98" t="s">
        <v>157</v>
      </c>
      <c r="F300" s="84">
        <v>15.05</v>
      </c>
      <c r="G300" s="84" t="s">
        <v>296</v>
      </c>
      <c r="H300" s="99">
        <v>2023</v>
      </c>
      <c r="I300" s="35">
        <v>45078</v>
      </c>
      <c r="J300" s="35" t="s">
        <v>294</v>
      </c>
      <c r="K300" s="85">
        <v>2023</v>
      </c>
      <c r="L300" s="44" t="s">
        <v>295</v>
      </c>
      <c r="M300" s="37">
        <v>45093</v>
      </c>
      <c r="N300" s="37">
        <f t="shared" si="15"/>
        <v>46920</v>
      </c>
      <c r="O300" s="37" t="s">
        <v>1605</v>
      </c>
      <c r="P300" s="37">
        <v>45099</v>
      </c>
      <c r="Q300" s="37">
        <f t="shared" si="17"/>
        <v>46926</v>
      </c>
      <c r="R300" s="243" t="s">
        <v>1534</v>
      </c>
      <c r="S300" s="259">
        <v>725138711</v>
      </c>
      <c r="T300" s="270" t="s">
        <v>1038</v>
      </c>
    </row>
    <row r="301" spans="2:20" x14ac:dyDescent="0.25">
      <c r="B301" s="10">
        <v>300</v>
      </c>
      <c r="C301" s="29" t="s">
        <v>190</v>
      </c>
      <c r="D301" s="30" t="s">
        <v>297</v>
      </c>
      <c r="E301" s="98" t="s">
        <v>157</v>
      </c>
      <c r="F301" s="84">
        <v>19.486999999999998</v>
      </c>
      <c r="G301" s="84" t="s">
        <v>298</v>
      </c>
      <c r="H301" s="99">
        <v>2023</v>
      </c>
      <c r="I301" s="35">
        <v>45078</v>
      </c>
      <c r="J301" s="35" t="s">
        <v>294</v>
      </c>
      <c r="K301" s="85">
        <v>2023</v>
      </c>
      <c r="L301" s="44" t="s">
        <v>295</v>
      </c>
      <c r="M301" s="37">
        <v>45093</v>
      </c>
      <c r="N301" s="37">
        <f t="shared" si="15"/>
        <v>46920</v>
      </c>
      <c r="O301" s="37" t="s">
        <v>1606</v>
      </c>
      <c r="P301" s="37">
        <v>45099</v>
      </c>
      <c r="Q301" s="37">
        <f t="shared" si="17"/>
        <v>46926</v>
      </c>
      <c r="R301" s="243" t="s">
        <v>1534</v>
      </c>
      <c r="S301" s="259">
        <v>725138711</v>
      </c>
      <c r="T301" s="270" t="s">
        <v>1039</v>
      </c>
    </row>
    <row r="302" spans="2:20" x14ac:dyDescent="0.25">
      <c r="B302" s="10">
        <v>301</v>
      </c>
      <c r="C302" s="29" t="s">
        <v>190</v>
      </c>
      <c r="D302" s="30" t="s">
        <v>292</v>
      </c>
      <c r="E302" s="98" t="s">
        <v>157</v>
      </c>
      <c r="F302" s="84">
        <v>14.464</v>
      </c>
      <c r="G302" s="84" t="s">
        <v>293</v>
      </c>
      <c r="H302" s="99">
        <v>2023</v>
      </c>
      <c r="I302" s="35">
        <v>45078</v>
      </c>
      <c r="J302" s="35" t="s">
        <v>294</v>
      </c>
      <c r="K302" s="85">
        <v>2023</v>
      </c>
      <c r="L302" s="44" t="s">
        <v>295</v>
      </c>
      <c r="M302" s="37">
        <v>45093</v>
      </c>
      <c r="N302" s="37">
        <f t="shared" si="15"/>
        <v>46920</v>
      </c>
      <c r="O302" s="37" t="s">
        <v>1607</v>
      </c>
      <c r="P302" s="37">
        <v>45099</v>
      </c>
      <c r="Q302" s="37">
        <f t="shared" si="17"/>
        <v>46926</v>
      </c>
      <c r="R302" s="243" t="s">
        <v>1534</v>
      </c>
      <c r="S302" s="259">
        <v>725138711</v>
      </c>
      <c r="T302" s="270" t="s">
        <v>1037</v>
      </c>
    </row>
    <row r="303" spans="2:20" x14ac:dyDescent="0.25">
      <c r="B303" s="10">
        <v>302</v>
      </c>
      <c r="C303" s="29" t="s">
        <v>190</v>
      </c>
      <c r="D303" s="30" t="s">
        <v>297</v>
      </c>
      <c r="E303" s="98" t="s">
        <v>157</v>
      </c>
      <c r="F303" s="84">
        <v>20.516999999999999</v>
      </c>
      <c r="G303" s="84" t="s">
        <v>299</v>
      </c>
      <c r="H303" s="99">
        <v>2023</v>
      </c>
      <c r="I303" s="35">
        <v>45078</v>
      </c>
      <c r="J303" s="35" t="s">
        <v>294</v>
      </c>
      <c r="K303" s="85">
        <v>2023</v>
      </c>
      <c r="L303" s="44" t="s">
        <v>295</v>
      </c>
      <c r="M303" s="37">
        <v>45093</v>
      </c>
      <c r="N303" s="37">
        <f t="shared" si="15"/>
        <v>46920</v>
      </c>
      <c r="O303" s="37" t="s">
        <v>1608</v>
      </c>
      <c r="P303" s="37">
        <v>45099</v>
      </c>
      <c r="Q303" s="37">
        <f t="shared" si="17"/>
        <v>46926</v>
      </c>
      <c r="R303" s="243" t="s">
        <v>1534</v>
      </c>
      <c r="S303" s="259">
        <v>725138711</v>
      </c>
      <c r="T303" s="270" t="s">
        <v>1040</v>
      </c>
    </row>
    <row r="304" spans="2:20" x14ac:dyDescent="0.25">
      <c r="B304" s="10">
        <v>303</v>
      </c>
      <c r="C304" s="68" t="s">
        <v>164</v>
      </c>
      <c r="D304" s="22" t="s">
        <v>177</v>
      </c>
      <c r="E304" s="46" t="s">
        <v>133</v>
      </c>
      <c r="F304" s="69">
        <v>350.66699999999997</v>
      </c>
      <c r="G304" s="24"/>
      <c r="H304" s="25">
        <v>2006</v>
      </c>
      <c r="I304" s="49">
        <v>45078</v>
      </c>
      <c r="J304" s="49" t="s">
        <v>17</v>
      </c>
      <c r="K304" s="56">
        <v>2006</v>
      </c>
      <c r="L304" s="49" t="s">
        <v>178</v>
      </c>
      <c r="M304" s="27">
        <v>45093</v>
      </c>
      <c r="N304" s="27">
        <f t="shared" si="15"/>
        <v>46920</v>
      </c>
      <c r="O304" s="27" t="e">
        <f>VLOOKUP(D304,'[1]PZ a UTZ'!B483:G576,5,FALSE)</f>
        <v>#N/A</v>
      </c>
      <c r="P304" s="27" t="e">
        <f>VLOOKUP(D304,'[1]PZ a UTZ'!B483:G576,6,FALSE)</f>
        <v>#N/A</v>
      </c>
      <c r="Q304" s="27" t="e">
        <f t="shared" si="17"/>
        <v>#N/A</v>
      </c>
      <c r="R304" s="242" t="s">
        <v>1530</v>
      </c>
      <c r="S304" s="258">
        <v>725582092</v>
      </c>
      <c r="T304" s="280" t="s">
        <v>990</v>
      </c>
    </row>
    <row r="305" spans="2:20" x14ac:dyDescent="0.25">
      <c r="B305" s="10">
        <v>304</v>
      </c>
      <c r="C305" s="45" t="s">
        <v>190</v>
      </c>
      <c r="D305" s="28" t="s">
        <v>661</v>
      </c>
      <c r="E305" s="46" t="s">
        <v>94</v>
      </c>
      <c r="F305" s="47">
        <v>2.891</v>
      </c>
      <c r="G305" s="47" t="s">
        <v>662</v>
      </c>
      <c r="H305" s="48">
        <v>2004</v>
      </c>
      <c r="I305" s="49">
        <v>45078</v>
      </c>
      <c r="J305" s="49" t="s">
        <v>657</v>
      </c>
      <c r="K305" s="56">
        <v>2004</v>
      </c>
      <c r="L305" s="49" t="s">
        <v>663</v>
      </c>
      <c r="M305" s="27">
        <v>45098</v>
      </c>
      <c r="N305" s="27">
        <f t="shared" si="15"/>
        <v>46925</v>
      </c>
      <c r="O305" s="27" t="s">
        <v>1552</v>
      </c>
      <c r="P305" s="27">
        <v>43710</v>
      </c>
      <c r="Q305" s="27">
        <f t="shared" si="17"/>
        <v>45537</v>
      </c>
      <c r="R305" s="242" t="s">
        <v>1509</v>
      </c>
      <c r="S305" s="258">
        <v>725363405</v>
      </c>
      <c r="T305" s="273" t="s">
        <v>1174</v>
      </c>
    </row>
    <row r="306" spans="2:20" x14ac:dyDescent="0.25">
      <c r="B306" s="10">
        <v>305</v>
      </c>
      <c r="C306" s="45" t="s">
        <v>190</v>
      </c>
      <c r="D306" s="28" t="s">
        <v>655</v>
      </c>
      <c r="E306" s="46" t="s">
        <v>94</v>
      </c>
      <c r="F306" s="47">
        <v>3.3039999999999998</v>
      </c>
      <c r="G306" s="47" t="s">
        <v>659</v>
      </c>
      <c r="H306" s="48">
        <v>2004</v>
      </c>
      <c r="I306" s="49">
        <v>45078</v>
      </c>
      <c r="J306" s="49" t="s">
        <v>657</v>
      </c>
      <c r="K306" s="56">
        <v>2004</v>
      </c>
      <c r="L306" s="49" t="s">
        <v>660</v>
      </c>
      <c r="M306" s="27">
        <v>45098</v>
      </c>
      <c r="N306" s="27">
        <f t="shared" si="15"/>
        <v>46925</v>
      </c>
      <c r="O306" s="27" t="s">
        <v>1609</v>
      </c>
      <c r="P306" s="27">
        <v>43710</v>
      </c>
      <c r="Q306" s="27">
        <f t="shared" si="17"/>
        <v>45537</v>
      </c>
      <c r="R306" s="242" t="s">
        <v>1509</v>
      </c>
      <c r="S306" s="258">
        <v>725363405</v>
      </c>
      <c r="T306" s="273" t="s">
        <v>1173</v>
      </c>
    </row>
    <row r="307" spans="2:20" x14ac:dyDescent="0.25">
      <c r="B307" s="10">
        <v>306</v>
      </c>
      <c r="C307" s="45" t="s">
        <v>190</v>
      </c>
      <c r="D307" s="28" t="s">
        <v>655</v>
      </c>
      <c r="E307" s="46" t="s">
        <v>94</v>
      </c>
      <c r="F307" s="47">
        <v>3.544</v>
      </c>
      <c r="G307" s="47" t="s">
        <v>656</v>
      </c>
      <c r="H307" s="48">
        <v>2004</v>
      </c>
      <c r="I307" s="49">
        <v>45078</v>
      </c>
      <c r="J307" s="49" t="s">
        <v>657</v>
      </c>
      <c r="K307" s="56">
        <v>2004</v>
      </c>
      <c r="L307" s="49" t="s">
        <v>658</v>
      </c>
      <c r="M307" s="27">
        <v>45098</v>
      </c>
      <c r="N307" s="27">
        <f t="shared" si="15"/>
        <v>46925</v>
      </c>
      <c r="O307" s="27" t="s">
        <v>1610</v>
      </c>
      <c r="P307" s="27">
        <v>43710</v>
      </c>
      <c r="Q307" s="27">
        <f t="shared" si="17"/>
        <v>45537</v>
      </c>
      <c r="R307" s="242" t="s">
        <v>1515</v>
      </c>
      <c r="S307" s="258">
        <v>724901887</v>
      </c>
      <c r="T307" s="273" t="s">
        <v>1172</v>
      </c>
    </row>
    <row r="308" spans="2:20" x14ac:dyDescent="0.25">
      <c r="B308" s="10">
        <v>307</v>
      </c>
      <c r="C308" s="92" t="s">
        <v>190</v>
      </c>
      <c r="D308" s="22" t="s">
        <v>644</v>
      </c>
      <c r="E308" s="46" t="s">
        <v>94</v>
      </c>
      <c r="F308" s="47">
        <v>26.073</v>
      </c>
      <c r="G308" s="47" t="s">
        <v>645</v>
      </c>
      <c r="H308" s="95">
        <v>2004</v>
      </c>
      <c r="I308" s="49">
        <v>45078</v>
      </c>
      <c r="J308" s="49" t="s">
        <v>638</v>
      </c>
      <c r="K308" s="56" t="s">
        <v>639</v>
      </c>
      <c r="L308" s="49" t="s">
        <v>646</v>
      </c>
      <c r="M308" s="27">
        <v>45099</v>
      </c>
      <c r="N308" s="27">
        <f t="shared" si="15"/>
        <v>46926</v>
      </c>
      <c r="O308" s="27" t="str">
        <f>VLOOKUP(F308,'[1]PZ a UTZ'!$E$2:$H$335,3,FALSE)</f>
        <v>PZ 2648/03-E.49</v>
      </c>
      <c r="P308" s="27">
        <f>VLOOKUP(F308,'[1]PZ a UTZ'!$E$2:$H$335,4,FALSE)</f>
        <v>45106</v>
      </c>
      <c r="Q308" s="27">
        <f t="shared" si="17"/>
        <v>46933</v>
      </c>
      <c r="R308" s="242" t="s">
        <v>1521</v>
      </c>
      <c r="S308" s="258">
        <v>602668275</v>
      </c>
      <c r="T308" s="274" t="s">
        <v>1168</v>
      </c>
    </row>
    <row r="309" spans="2:20" x14ac:dyDescent="0.25">
      <c r="B309" s="10">
        <v>308</v>
      </c>
      <c r="C309" s="92" t="s">
        <v>190</v>
      </c>
      <c r="D309" s="28" t="s">
        <v>641</v>
      </c>
      <c r="E309" s="46" t="s">
        <v>94</v>
      </c>
      <c r="F309" s="47">
        <v>26.888000000000002</v>
      </c>
      <c r="G309" s="47" t="s">
        <v>642</v>
      </c>
      <c r="H309" s="95">
        <v>2004</v>
      </c>
      <c r="I309" s="49">
        <v>45078</v>
      </c>
      <c r="J309" s="49" t="s">
        <v>638</v>
      </c>
      <c r="K309" s="56" t="s">
        <v>639</v>
      </c>
      <c r="L309" s="49" t="s">
        <v>643</v>
      </c>
      <c r="M309" s="27">
        <v>45099</v>
      </c>
      <c r="N309" s="27">
        <f t="shared" si="15"/>
        <v>46926</v>
      </c>
      <c r="O309" s="27" t="str">
        <f>VLOOKUP(F309,'[1]PZ a UTZ'!$E$2:$H$335,3,FALSE)</f>
        <v>PZ 2649/03-E.49</v>
      </c>
      <c r="P309" s="27">
        <f>VLOOKUP(F309,'[1]PZ a UTZ'!$E$2:$H$335,4,FALSE)</f>
        <v>45106</v>
      </c>
      <c r="Q309" s="27">
        <f t="shared" si="17"/>
        <v>46933</v>
      </c>
      <c r="R309" s="242" t="s">
        <v>1521</v>
      </c>
      <c r="S309" s="258">
        <v>602668275</v>
      </c>
      <c r="T309" s="273" t="s">
        <v>1167</v>
      </c>
    </row>
    <row r="310" spans="2:20" x14ac:dyDescent="0.25">
      <c r="B310" s="10">
        <v>309</v>
      </c>
      <c r="C310" s="92" t="s">
        <v>190</v>
      </c>
      <c r="D310" s="22" t="s">
        <v>636</v>
      </c>
      <c r="E310" s="46" t="s">
        <v>94</v>
      </c>
      <c r="F310" s="47">
        <v>27.547000000000001</v>
      </c>
      <c r="G310" s="47" t="s">
        <v>637</v>
      </c>
      <c r="H310" s="95">
        <v>2004</v>
      </c>
      <c r="I310" s="49">
        <v>45078</v>
      </c>
      <c r="J310" s="49" t="s">
        <v>638</v>
      </c>
      <c r="K310" s="56" t="s">
        <v>639</v>
      </c>
      <c r="L310" s="49" t="s">
        <v>640</v>
      </c>
      <c r="M310" s="27">
        <v>45099</v>
      </c>
      <c r="N310" s="27">
        <f t="shared" si="15"/>
        <v>46926</v>
      </c>
      <c r="O310" s="27" t="str">
        <f>VLOOKUP(F310,'[1]PZ a UTZ'!$E$2:$H$335,3,FALSE)</f>
        <v>PZ 0552/04-E.49</v>
      </c>
      <c r="P310" s="27">
        <f>VLOOKUP(F310,'[1]PZ a UTZ'!$E$2:$H$335,4,FALSE)</f>
        <v>45106</v>
      </c>
      <c r="Q310" s="27">
        <f t="shared" si="17"/>
        <v>46933</v>
      </c>
      <c r="R310" s="242" t="s">
        <v>1521</v>
      </c>
      <c r="S310" s="258">
        <v>602668275</v>
      </c>
      <c r="T310" s="274" t="s">
        <v>1166</v>
      </c>
    </row>
    <row r="311" spans="2:20" x14ac:dyDescent="0.25">
      <c r="B311" s="10">
        <v>310</v>
      </c>
      <c r="C311" s="45" t="s">
        <v>190</v>
      </c>
      <c r="D311" s="22" t="s">
        <v>764</v>
      </c>
      <c r="E311" s="51" t="s">
        <v>761</v>
      </c>
      <c r="F311" s="47">
        <v>10.231</v>
      </c>
      <c r="G311" s="47" t="s">
        <v>765</v>
      </c>
      <c r="H311" s="95">
        <v>1996</v>
      </c>
      <c r="I311" s="49">
        <v>45078</v>
      </c>
      <c r="J311" s="49" t="s">
        <v>46</v>
      </c>
      <c r="K311" s="56">
        <v>2010</v>
      </c>
      <c r="L311" s="49" t="s">
        <v>766</v>
      </c>
      <c r="M311" s="27">
        <v>45103</v>
      </c>
      <c r="N311" s="27">
        <f t="shared" si="15"/>
        <v>46930</v>
      </c>
      <c r="O311" s="27" t="str">
        <f>VLOOKUP(F311,'[1]PZ a UTZ'!$E$2:$H$335,3,FALSE)</f>
        <v>PZ 12075/96-E.49</v>
      </c>
      <c r="P311" s="27">
        <v>44399</v>
      </c>
      <c r="Q311" s="27">
        <f t="shared" si="17"/>
        <v>46225</v>
      </c>
      <c r="R311" s="242" t="s">
        <v>1492</v>
      </c>
      <c r="S311" s="258">
        <v>724214647</v>
      </c>
      <c r="T311" s="274" t="s">
        <v>1667</v>
      </c>
    </row>
    <row r="312" spans="2:20" x14ac:dyDescent="0.25">
      <c r="B312" s="10">
        <v>311</v>
      </c>
      <c r="C312" s="71" t="s">
        <v>190</v>
      </c>
      <c r="D312" s="30" t="s">
        <v>596</v>
      </c>
      <c r="E312" s="72" t="s">
        <v>94</v>
      </c>
      <c r="F312" s="73">
        <v>52.372999999999998</v>
      </c>
      <c r="G312" s="73" t="s">
        <v>597</v>
      </c>
      <c r="H312" s="89">
        <v>1995</v>
      </c>
      <c r="I312" s="35">
        <v>44593</v>
      </c>
      <c r="J312" s="44" t="s">
        <v>49</v>
      </c>
      <c r="K312" s="85">
        <v>2023</v>
      </c>
      <c r="L312" s="44" t="s">
        <v>295</v>
      </c>
      <c r="M312" s="37">
        <v>45134</v>
      </c>
      <c r="N312" s="37">
        <f t="shared" si="15"/>
        <v>46961</v>
      </c>
      <c r="O312" s="37" t="str">
        <f>VLOOKUP(F312,'[1]PZ a UTZ'!$E$2:$H$335,3,FALSE)</f>
        <v>PZ 1331/95-E.49</v>
      </c>
      <c r="P312" s="37">
        <f>VLOOKUP(F312,'[1]PZ a UTZ'!$E$2:$H$335,4,FALSE)</f>
        <v>43732</v>
      </c>
      <c r="Q312" s="37">
        <f t="shared" si="17"/>
        <v>45559</v>
      </c>
      <c r="R312" s="243" t="s">
        <v>1510</v>
      </c>
      <c r="S312" s="259">
        <v>602282288</v>
      </c>
      <c r="T312" s="278" t="s">
        <v>1154</v>
      </c>
    </row>
    <row r="313" spans="2:20" x14ac:dyDescent="0.25">
      <c r="B313" s="10">
        <v>312</v>
      </c>
      <c r="C313" s="71" t="s">
        <v>190</v>
      </c>
      <c r="D313" s="30" t="s">
        <v>485</v>
      </c>
      <c r="E313" s="72" t="s">
        <v>63</v>
      </c>
      <c r="F313" s="73">
        <v>162.61000000000001</v>
      </c>
      <c r="G313" s="73" t="s">
        <v>486</v>
      </c>
      <c r="H313" s="36">
        <v>1983</v>
      </c>
      <c r="I313" s="44">
        <v>45170</v>
      </c>
      <c r="J313" s="44" t="s">
        <v>42</v>
      </c>
      <c r="K313" s="36">
        <v>2023</v>
      </c>
      <c r="L313" s="35" t="s">
        <v>295</v>
      </c>
      <c r="M313" s="37">
        <v>45170</v>
      </c>
      <c r="N313" s="37">
        <f t="shared" si="15"/>
        <v>46997</v>
      </c>
      <c r="O313" s="37" t="s">
        <v>1611</v>
      </c>
      <c r="P313" s="37">
        <v>44334</v>
      </c>
      <c r="Q313" s="37">
        <f t="shared" si="17"/>
        <v>46160</v>
      </c>
      <c r="R313" s="243" t="s">
        <v>1502</v>
      </c>
      <c r="S313" s="259">
        <v>724862388</v>
      </c>
      <c r="T313" s="278" t="s">
        <v>1115</v>
      </c>
    </row>
    <row r="314" spans="2:20" x14ac:dyDescent="0.25">
      <c r="B314" s="10">
        <v>313</v>
      </c>
      <c r="C314" s="53" t="s">
        <v>14</v>
      </c>
      <c r="D314" s="22" t="s">
        <v>65</v>
      </c>
      <c r="E314" s="46" t="s">
        <v>63</v>
      </c>
      <c r="F314" s="54">
        <v>123.136</v>
      </c>
      <c r="G314" s="47" t="s">
        <v>1283</v>
      </c>
      <c r="H314" s="48">
        <v>2008</v>
      </c>
      <c r="I314" s="49">
        <v>45170</v>
      </c>
      <c r="J314" s="49" t="s">
        <v>46</v>
      </c>
      <c r="K314" s="56">
        <v>2008</v>
      </c>
      <c r="L314" s="49" t="s">
        <v>66</v>
      </c>
      <c r="M314" s="27">
        <v>45174</v>
      </c>
      <c r="N314" s="27">
        <f t="shared" si="15"/>
        <v>47001</v>
      </c>
      <c r="O314" s="27" t="str">
        <f>VLOOKUP(D314,'[1]PZ a UTZ'!$C$341:$H$464,5,FALSE)</f>
        <v>PZ 0967/08-E.49</v>
      </c>
      <c r="P314" s="27">
        <f>VLOOKUP(D314,'[1]PZ a UTZ'!$C$341:$H$464,6,FALSE)</f>
        <v>45187</v>
      </c>
      <c r="Q314" s="27">
        <f t="shared" si="17"/>
        <v>47014</v>
      </c>
      <c r="R314" s="242" t="s">
        <v>1532</v>
      </c>
      <c r="S314" s="258">
        <v>725339118</v>
      </c>
      <c r="T314" s="274" t="s">
        <v>940</v>
      </c>
    </row>
    <row r="315" spans="2:20" x14ac:dyDescent="0.25">
      <c r="B315" s="10">
        <v>314</v>
      </c>
      <c r="C315" s="100" t="s">
        <v>1289</v>
      </c>
      <c r="D315" s="101" t="s">
        <v>65</v>
      </c>
      <c r="E315" s="102" t="s">
        <v>63</v>
      </c>
      <c r="F315" s="103">
        <v>33.957999999999998</v>
      </c>
      <c r="G315" s="104" t="s">
        <v>1283</v>
      </c>
      <c r="H315" s="105">
        <v>2008</v>
      </c>
      <c r="I315" s="106">
        <v>45170</v>
      </c>
      <c r="J315" s="106" t="s">
        <v>1368</v>
      </c>
      <c r="K315" s="107">
        <v>1979</v>
      </c>
      <c r="L315" s="106" t="s">
        <v>1369</v>
      </c>
      <c r="M315" s="108">
        <v>45174</v>
      </c>
      <c r="N315" s="108">
        <f t="shared" si="15"/>
        <v>47001</v>
      </c>
      <c r="O315" s="209"/>
      <c r="P315" s="209"/>
      <c r="Q315" s="209"/>
      <c r="R315" s="246" t="s">
        <v>1532</v>
      </c>
      <c r="S315" s="262">
        <v>725339118</v>
      </c>
      <c r="T315" s="283" t="s">
        <v>940</v>
      </c>
    </row>
    <row r="316" spans="2:20" x14ac:dyDescent="0.25">
      <c r="B316" s="10">
        <v>315</v>
      </c>
      <c r="C316" s="155" t="s">
        <v>864</v>
      </c>
      <c r="D316" s="22" t="s">
        <v>801</v>
      </c>
      <c r="E316" s="46" t="s">
        <v>772</v>
      </c>
      <c r="F316" s="47">
        <v>57.996000000000002</v>
      </c>
      <c r="G316" s="47" t="s">
        <v>877</v>
      </c>
      <c r="H316" s="95">
        <v>1992</v>
      </c>
      <c r="I316" s="49">
        <v>45170</v>
      </c>
      <c r="J316" s="49" t="s">
        <v>46</v>
      </c>
      <c r="K316" s="56">
        <v>2010</v>
      </c>
      <c r="L316" s="49" t="s">
        <v>878</v>
      </c>
      <c r="M316" s="27">
        <v>45175</v>
      </c>
      <c r="N316" s="27">
        <f t="shared" si="15"/>
        <v>47002</v>
      </c>
      <c r="O316" s="27" t="str">
        <f>VLOOKUP(F316,'[1]PZ a UTZ'!$E$2:$H$335,3,FALSE)</f>
        <v>PZ 12080/96-E.49</v>
      </c>
      <c r="P316" s="27">
        <f>VLOOKUP(F316,'[1]PZ a UTZ'!$E$2:$H$335,4,FALSE)</f>
        <v>43840</v>
      </c>
      <c r="Q316" s="27">
        <f>EDATE(P316,60)</f>
        <v>45667</v>
      </c>
      <c r="R316" s="242" t="s">
        <v>797</v>
      </c>
      <c r="S316" s="258">
        <v>724862387</v>
      </c>
      <c r="T316" s="274" t="s">
        <v>1263</v>
      </c>
    </row>
    <row r="317" spans="2:20" x14ac:dyDescent="0.25">
      <c r="B317" s="10">
        <v>316</v>
      </c>
      <c r="C317" s="194" t="s">
        <v>1289</v>
      </c>
      <c r="D317" s="101" t="s">
        <v>801</v>
      </c>
      <c r="E317" s="102" t="s">
        <v>772</v>
      </c>
      <c r="F317" s="103">
        <v>57.518000000000001</v>
      </c>
      <c r="G317" s="104" t="s">
        <v>1370</v>
      </c>
      <c r="H317" s="95">
        <v>2003</v>
      </c>
      <c r="I317" s="106">
        <v>45170</v>
      </c>
      <c r="J317" s="106" t="s">
        <v>679</v>
      </c>
      <c r="K317" s="107"/>
      <c r="L317" s="106" t="s">
        <v>1371</v>
      </c>
      <c r="M317" s="108">
        <v>45175</v>
      </c>
      <c r="N317" s="108">
        <f t="shared" si="15"/>
        <v>47002</v>
      </c>
      <c r="O317" s="209"/>
      <c r="P317" s="209"/>
      <c r="Q317" s="209"/>
      <c r="R317" s="246" t="s">
        <v>797</v>
      </c>
      <c r="S317" s="262">
        <v>724862387</v>
      </c>
      <c r="T317" s="299" t="s">
        <v>1668</v>
      </c>
    </row>
    <row r="318" spans="2:20" x14ac:dyDescent="0.25">
      <c r="B318" s="10">
        <v>317</v>
      </c>
      <c r="C318" s="71" t="s">
        <v>190</v>
      </c>
      <c r="D318" s="30" t="s">
        <v>782</v>
      </c>
      <c r="E318" s="72" t="s">
        <v>772</v>
      </c>
      <c r="F318" s="73">
        <v>20.905000000000001</v>
      </c>
      <c r="G318" s="73" t="s">
        <v>783</v>
      </c>
      <c r="H318" s="184">
        <v>2023</v>
      </c>
      <c r="I318" s="35">
        <v>45170</v>
      </c>
      <c r="J318" s="35" t="s">
        <v>42</v>
      </c>
      <c r="K318" s="85">
        <v>2023</v>
      </c>
      <c r="L318" s="44" t="s">
        <v>295</v>
      </c>
      <c r="M318" s="37">
        <v>45190</v>
      </c>
      <c r="N318" s="37">
        <f t="shared" si="15"/>
        <v>47017</v>
      </c>
      <c r="O318" s="37" t="str">
        <f>VLOOKUP(F318,'[1]PZ a UTZ'!$E$2:$H$335,3,FALSE)</f>
        <v>PZ 12078/96-E.49</v>
      </c>
      <c r="P318" s="37">
        <f>VLOOKUP(F318,'[1]PZ a UTZ'!$E$2:$H$335,4,FALSE)</f>
        <v>44428</v>
      </c>
      <c r="Q318" s="37">
        <f t="shared" ref="Q318:Q342" si="18">EDATE(P318,60)</f>
        <v>46254</v>
      </c>
      <c r="R318" s="243" t="s">
        <v>1492</v>
      </c>
      <c r="S318" s="259">
        <v>724214647</v>
      </c>
      <c r="T318" s="278" t="s">
        <v>1228</v>
      </c>
    </row>
    <row r="319" spans="2:20" x14ac:dyDescent="0.25">
      <c r="B319" s="10">
        <v>318</v>
      </c>
      <c r="C319" s="71" t="s">
        <v>190</v>
      </c>
      <c r="D319" s="30" t="s">
        <v>774</v>
      </c>
      <c r="E319" s="72" t="s">
        <v>772</v>
      </c>
      <c r="F319" s="73">
        <v>8.75</v>
      </c>
      <c r="G319" s="73" t="s">
        <v>775</v>
      </c>
      <c r="H319" s="36">
        <v>2023</v>
      </c>
      <c r="I319" s="35">
        <v>45200</v>
      </c>
      <c r="J319" s="35" t="s">
        <v>42</v>
      </c>
      <c r="K319" s="85">
        <v>2023</v>
      </c>
      <c r="L319" s="44" t="s">
        <v>295</v>
      </c>
      <c r="M319" s="37">
        <v>45201</v>
      </c>
      <c r="N319" s="37">
        <f t="shared" si="15"/>
        <v>47028</v>
      </c>
      <c r="O319" s="37" t="s">
        <v>1612</v>
      </c>
      <c r="P319" s="37">
        <v>45204</v>
      </c>
      <c r="Q319" s="37">
        <f t="shared" si="18"/>
        <v>47031</v>
      </c>
      <c r="R319" s="243" t="s">
        <v>1492</v>
      </c>
      <c r="S319" s="259">
        <v>724214647</v>
      </c>
      <c r="T319" s="278" t="s">
        <v>1225</v>
      </c>
    </row>
    <row r="320" spans="2:20" x14ac:dyDescent="0.25">
      <c r="B320" s="10">
        <v>319</v>
      </c>
      <c r="C320" s="71" t="s">
        <v>190</v>
      </c>
      <c r="D320" s="30" t="s">
        <v>782</v>
      </c>
      <c r="E320" s="72" t="s">
        <v>772</v>
      </c>
      <c r="F320" s="73">
        <v>20.09</v>
      </c>
      <c r="G320" s="73" t="s">
        <v>784</v>
      </c>
      <c r="H320" s="36">
        <v>2023</v>
      </c>
      <c r="I320" s="35">
        <v>45200</v>
      </c>
      <c r="J320" s="35" t="s">
        <v>42</v>
      </c>
      <c r="K320" s="85">
        <v>2023</v>
      </c>
      <c r="L320" s="44" t="s">
        <v>295</v>
      </c>
      <c r="M320" s="37">
        <v>45201</v>
      </c>
      <c r="N320" s="37">
        <f t="shared" si="15"/>
        <v>47028</v>
      </c>
      <c r="O320" s="37" t="str">
        <f>VLOOKUP(D320,'[1]PZ a UTZ'!$C$341:$H$464,5,FALSE)</f>
        <v>PZ 12089/96-E.49</v>
      </c>
      <c r="P320" s="37">
        <f>VLOOKUP(D320,'[1]PZ a UTZ'!$C$341:$H$464,6,FALSE)</f>
        <v>44428</v>
      </c>
      <c r="Q320" s="37">
        <f t="shared" si="18"/>
        <v>46254</v>
      </c>
      <c r="R320" s="243" t="s">
        <v>1492</v>
      </c>
      <c r="S320" s="259">
        <v>724214647</v>
      </c>
      <c r="T320" s="278" t="s">
        <v>1229</v>
      </c>
    </row>
    <row r="321" spans="2:20" x14ac:dyDescent="0.25">
      <c r="B321" s="10">
        <v>320</v>
      </c>
      <c r="C321" s="45" t="s">
        <v>190</v>
      </c>
      <c r="D321" s="28" t="s">
        <v>525</v>
      </c>
      <c r="E321" s="46" t="s">
        <v>94</v>
      </c>
      <c r="F321" s="47">
        <v>94.078000000000003</v>
      </c>
      <c r="G321" s="47" t="s">
        <v>526</v>
      </c>
      <c r="H321" s="48">
        <v>2004</v>
      </c>
      <c r="I321" s="49">
        <v>45200</v>
      </c>
      <c r="J321" s="26" t="s">
        <v>46</v>
      </c>
      <c r="K321" s="195">
        <v>2006</v>
      </c>
      <c r="L321" s="49" t="s">
        <v>527</v>
      </c>
      <c r="M321" s="27">
        <v>45201</v>
      </c>
      <c r="N321" s="27">
        <f t="shared" si="15"/>
        <v>47028</v>
      </c>
      <c r="O321" s="27" t="str">
        <f>VLOOKUP(F321,'[1]PZ a UTZ'!$E$2:$H$335,3,FALSE)</f>
        <v>PZ 0514/04-E.49</v>
      </c>
      <c r="P321" s="27">
        <f>VLOOKUP(F321,'[1]PZ a UTZ'!$E$2:$H$335,4,FALSE)</f>
        <v>45181</v>
      </c>
      <c r="Q321" s="27">
        <f t="shared" si="18"/>
        <v>47008</v>
      </c>
      <c r="R321" s="242" t="s">
        <v>1511</v>
      </c>
      <c r="S321" s="258">
        <v>603418035</v>
      </c>
      <c r="T321" s="273" t="s">
        <v>1130</v>
      </c>
    </row>
    <row r="322" spans="2:20" x14ac:dyDescent="0.25">
      <c r="B322" s="10">
        <v>321</v>
      </c>
      <c r="C322" s="45" t="s">
        <v>190</v>
      </c>
      <c r="D322" s="22" t="s">
        <v>119</v>
      </c>
      <c r="E322" s="46" t="s">
        <v>112</v>
      </c>
      <c r="F322" s="47">
        <v>18.132999999999999</v>
      </c>
      <c r="G322" s="47" t="s">
        <v>678</v>
      </c>
      <c r="H322" s="95">
        <v>1976</v>
      </c>
      <c r="I322" s="49">
        <v>45200</v>
      </c>
      <c r="J322" s="49" t="s">
        <v>679</v>
      </c>
      <c r="K322" s="56">
        <v>1975</v>
      </c>
      <c r="L322" s="49" t="s">
        <v>680</v>
      </c>
      <c r="M322" s="27">
        <v>45202</v>
      </c>
      <c r="N322" s="27">
        <f t="shared" si="15"/>
        <v>47029</v>
      </c>
      <c r="O322" s="27" t="str">
        <f>VLOOKUP(F322,'[1]PZ a UTZ'!$E$2:$H$335,3,FALSE)</f>
        <v>PZ 10305/96-E.49</v>
      </c>
      <c r="P322" s="27">
        <f>VLOOKUP(F322,'[1]PZ a UTZ'!$E$2:$H$335,4,FALSE)</f>
        <v>44141</v>
      </c>
      <c r="Q322" s="27">
        <f t="shared" si="18"/>
        <v>45967</v>
      </c>
      <c r="R322" s="242" t="s">
        <v>1487</v>
      </c>
      <c r="S322" s="258">
        <v>725339123</v>
      </c>
      <c r="T322" s="274" t="s">
        <v>1181</v>
      </c>
    </row>
    <row r="323" spans="2:20" x14ac:dyDescent="0.25">
      <c r="B323" s="10">
        <v>322</v>
      </c>
      <c r="C323" s="45" t="s">
        <v>190</v>
      </c>
      <c r="D323" s="22" t="s">
        <v>119</v>
      </c>
      <c r="E323" s="46" t="s">
        <v>112</v>
      </c>
      <c r="F323" s="47">
        <v>18.556999999999999</v>
      </c>
      <c r="G323" s="47" t="s">
        <v>681</v>
      </c>
      <c r="H323" s="48">
        <v>2013</v>
      </c>
      <c r="I323" s="49">
        <v>45200</v>
      </c>
      <c r="J323" s="49" t="s">
        <v>158</v>
      </c>
      <c r="K323" s="56">
        <v>2013</v>
      </c>
      <c r="L323" s="49" t="s">
        <v>682</v>
      </c>
      <c r="M323" s="27">
        <v>45202</v>
      </c>
      <c r="N323" s="27">
        <f t="shared" ref="N323:N325" si="19">EDATE(M323,60)</f>
        <v>47029</v>
      </c>
      <c r="O323" s="27" t="str">
        <f>VLOOKUP(F323,'[1]PZ a UTZ'!$E$2:$H$335,3,FALSE)</f>
        <v>PZ 1787/13-E.48</v>
      </c>
      <c r="P323" s="27">
        <f>VLOOKUP(F323,'[1]PZ a UTZ'!$E$2:$H$335,4,FALSE)</f>
        <v>45208</v>
      </c>
      <c r="Q323" s="27">
        <f t="shared" si="18"/>
        <v>47035</v>
      </c>
      <c r="R323" s="242" t="s">
        <v>1487</v>
      </c>
      <c r="S323" s="258">
        <v>725339123</v>
      </c>
      <c r="T323" s="274" t="s">
        <v>1182</v>
      </c>
    </row>
    <row r="324" spans="2:20" x14ac:dyDescent="0.25">
      <c r="B324" s="10">
        <v>323</v>
      </c>
      <c r="C324" s="196" t="s">
        <v>190</v>
      </c>
      <c r="D324" s="30" t="s">
        <v>749</v>
      </c>
      <c r="E324" s="94" t="s">
        <v>92</v>
      </c>
      <c r="F324" s="73">
        <v>20.167000000000002</v>
      </c>
      <c r="G324" s="73" t="s">
        <v>750</v>
      </c>
      <c r="H324" s="36">
        <v>2001</v>
      </c>
      <c r="I324" s="44">
        <v>45200</v>
      </c>
      <c r="J324" s="35" t="s">
        <v>42</v>
      </c>
      <c r="K324" s="36">
        <v>2023</v>
      </c>
      <c r="L324" s="35" t="s">
        <v>295</v>
      </c>
      <c r="M324" s="37">
        <v>45202</v>
      </c>
      <c r="N324" s="37">
        <f t="shared" si="19"/>
        <v>47029</v>
      </c>
      <c r="O324" s="37" t="str">
        <f>VLOOKUP(F324,'[1]PZ a UTZ'!$E$2:$H$335,3,FALSE)</f>
        <v>PZ 2425/01-E.49</v>
      </c>
      <c r="P324" s="37">
        <f>VLOOKUP(F324,'[1]PZ a UTZ'!$E$2:$H$335,4,FALSE)</f>
        <v>44510</v>
      </c>
      <c r="Q324" s="37">
        <f t="shared" si="18"/>
        <v>46336</v>
      </c>
      <c r="R324" s="243" t="s">
        <v>1502</v>
      </c>
      <c r="S324" s="259">
        <v>724862388</v>
      </c>
      <c r="T324" s="278" t="s">
        <v>1220</v>
      </c>
    </row>
    <row r="325" spans="2:20" x14ac:dyDescent="0.25">
      <c r="B325" s="10">
        <v>324</v>
      </c>
      <c r="C325" s="68" t="s">
        <v>164</v>
      </c>
      <c r="D325" s="22" t="s">
        <v>1372</v>
      </c>
      <c r="E325" s="46" t="s">
        <v>53</v>
      </c>
      <c r="F325" s="69">
        <v>95.849000000000004</v>
      </c>
      <c r="G325" s="24" t="s">
        <v>1373</v>
      </c>
      <c r="H325" s="25">
        <v>2018</v>
      </c>
      <c r="I325" s="26">
        <v>45200</v>
      </c>
      <c r="J325" s="26" t="s">
        <v>77</v>
      </c>
      <c r="K325" s="86">
        <v>2018</v>
      </c>
      <c r="L325" s="26" t="s">
        <v>166</v>
      </c>
      <c r="M325" s="27">
        <v>45204</v>
      </c>
      <c r="N325" s="27">
        <f t="shared" si="19"/>
        <v>47031</v>
      </c>
      <c r="O325" s="27" t="e">
        <f>VLOOKUP(D325,'[1]PZ a UTZ'!B471:G564,5,FALSE)</f>
        <v>#N/A</v>
      </c>
      <c r="P325" s="27" t="e">
        <f>VLOOKUP(D325,'[1]PZ a UTZ'!B471:G564,6,FALSE)</f>
        <v>#N/A</v>
      </c>
      <c r="Q325" s="27" t="e">
        <f t="shared" si="18"/>
        <v>#N/A</v>
      </c>
      <c r="R325" s="242" t="s">
        <v>1613</v>
      </c>
      <c r="S325" s="258">
        <v>607233937</v>
      </c>
      <c r="T325" s="280" t="s">
        <v>983</v>
      </c>
    </row>
    <row r="326" spans="2:20" x14ac:dyDescent="0.25">
      <c r="B326" s="10">
        <v>325</v>
      </c>
      <c r="C326" s="68" t="s">
        <v>164</v>
      </c>
      <c r="D326" s="22" t="s">
        <v>165</v>
      </c>
      <c r="E326" s="46" t="s">
        <v>53</v>
      </c>
      <c r="F326" s="69">
        <v>95.849000000000004</v>
      </c>
      <c r="G326" s="24" t="s">
        <v>914</v>
      </c>
      <c r="H326" s="25">
        <v>2018</v>
      </c>
      <c r="I326" s="26">
        <v>45200</v>
      </c>
      <c r="J326" s="26" t="s">
        <v>77</v>
      </c>
      <c r="K326" s="86">
        <v>2018</v>
      </c>
      <c r="L326" s="26" t="s">
        <v>166</v>
      </c>
      <c r="M326" s="27">
        <v>45204</v>
      </c>
      <c r="N326" s="27">
        <v>47031</v>
      </c>
      <c r="O326" s="27" t="s">
        <v>1614</v>
      </c>
      <c r="P326" s="27">
        <v>45218</v>
      </c>
      <c r="Q326" s="27">
        <f t="shared" si="18"/>
        <v>47045</v>
      </c>
      <c r="R326" s="242" t="s">
        <v>1613</v>
      </c>
      <c r="S326" s="258">
        <v>607233937</v>
      </c>
      <c r="T326" s="280" t="s">
        <v>983</v>
      </c>
    </row>
    <row r="327" spans="2:20" x14ac:dyDescent="0.25">
      <c r="B327" s="10">
        <v>326</v>
      </c>
      <c r="C327" s="197" t="s">
        <v>14</v>
      </c>
      <c r="D327" s="30" t="s">
        <v>189</v>
      </c>
      <c r="E327" s="94" t="s">
        <v>92</v>
      </c>
      <c r="F327" s="118">
        <v>19.329999999999998</v>
      </c>
      <c r="G327" s="73"/>
      <c r="H327" s="95">
        <v>2023</v>
      </c>
      <c r="I327" s="35">
        <v>43922</v>
      </c>
      <c r="J327" s="44" t="s">
        <v>1374</v>
      </c>
      <c r="K327" s="85">
        <v>2023</v>
      </c>
      <c r="L327" s="175" t="s">
        <v>875</v>
      </c>
      <c r="M327" s="37">
        <v>45204</v>
      </c>
      <c r="N327" s="37">
        <f t="shared" ref="N327:N357" si="20">EDATE(M327,60)</f>
        <v>47031</v>
      </c>
      <c r="O327" s="37" t="str">
        <f>VLOOKUP(D327,'[1]PZ a UTZ'!$C$341:$H$464,5,FALSE)</f>
        <v>PZ 1740/23-E.49</v>
      </c>
      <c r="P327" s="37">
        <f>VLOOKUP(D327,'[1]PZ a UTZ'!$C$341:$H$464,6,FALSE)</f>
        <v>45204</v>
      </c>
      <c r="Q327" s="37">
        <f t="shared" si="18"/>
        <v>47031</v>
      </c>
      <c r="R327" s="243" t="s">
        <v>1502</v>
      </c>
      <c r="S327" s="259">
        <v>724862388</v>
      </c>
      <c r="T327" s="290" t="s">
        <v>1261</v>
      </c>
    </row>
    <row r="328" spans="2:20" x14ac:dyDescent="0.25">
      <c r="B328" s="10">
        <v>327</v>
      </c>
      <c r="C328" s="68" t="s">
        <v>164</v>
      </c>
      <c r="D328" s="22" t="s">
        <v>165</v>
      </c>
      <c r="E328" s="46" t="s">
        <v>53</v>
      </c>
      <c r="F328" s="69">
        <v>100.001</v>
      </c>
      <c r="G328" s="24" t="s">
        <v>913</v>
      </c>
      <c r="H328" s="25">
        <v>2018</v>
      </c>
      <c r="I328" s="26">
        <v>45200</v>
      </c>
      <c r="J328" s="26" t="s">
        <v>77</v>
      </c>
      <c r="K328" s="86">
        <v>2018</v>
      </c>
      <c r="L328" s="26" t="s">
        <v>166</v>
      </c>
      <c r="M328" s="27">
        <v>45204</v>
      </c>
      <c r="N328" s="27">
        <f t="shared" si="20"/>
        <v>47031</v>
      </c>
      <c r="O328" s="27" t="s">
        <v>1614</v>
      </c>
      <c r="P328" s="27">
        <v>45218</v>
      </c>
      <c r="Q328" s="27">
        <f t="shared" si="18"/>
        <v>47045</v>
      </c>
      <c r="R328" s="242" t="s">
        <v>1613</v>
      </c>
      <c r="S328" s="258">
        <v>607233937</v>
      </c>
      <c r="T328" s="280" t="s">
        <v>983</v>
      </c>
    </row>
    <row r="329" spans="2:20" x14ac:dyDescent="0.25">
      <c r="B329" s="10">
        <v>328</v>
      </c>
      <c r="C329" s="71" t="s">
        <v>190</v>
      </c>
      <c r="D329" s="30" t="s">
        <v>801</v>
      </c>
      <c r="E329" s="72" t="s">
        <v>772</v>
      </c>
      <c r="F329" s="73">
        <v>56.356999999999999</v>
      </c>
      <c r="G329" s="73" t="s">
        <v>802</v>
      </c>
      <c r="H329" s="36">
        <v>2023</v>
      </c>
      <c r="I329" s="44">
        <v>45200</v>
      </c>
      <c r="J329" s="44" t="s">
        <v>294</v>
      </c>
      <c r="K329" s="36">
        <v>2023</v>
      </c>
      <c r="L329" s="44" t="s">
        <v>295</v>
      </c>
      <c r="M329" s="74">
        <v>45211</v>
      </c>
      <c r="N329" s="74">
        <f t="shared" si="20"/>
        <v>47038</v>
      </c>
      <c r="O329" s="37" t="str">
        <f>VLOOKUP(F329,'[1]PZ a UTZ'!$E$2:$H$335,3,FALSE)</f>
        <v>PZ 12079/96-E.49</v>
      </c>
      <c r="P329" s="37">
        <f>VLOOKUP(F329,'[1]PZ a UTZ'!$E$2:$H$335,4,FALSE)</f>
        <v>44428</v>
      </c>
      <c r="Q329" s="37">
        <f t="shared" si="18"/>
        <v>46254</v>
      </c>
      <c r="R329" s="243" t="s">
        <v>797</v>
      </c>
      <c r="S329" s="259">
        <v>724862387</v>
      </c>
      <c r="T329" s="278" t="s">
        <v>1236</v>
      </c>
    </row>
    <row r="330" spans="2:20" x14ac:dyDescent="0.25">
      <c r="B330" s="10">
        <v>329</v>
      </c>
      <c r="C330" s="45" t="s">
        <v>190</v>
      </c>
      <c r="D330" s="22" t="s">
        <v>116</v>
      </c>
      <c r="E330" s="46" t="s">
        <v>112</v>
      </c>
      <c r="F330" s="47">
        <v>10.166</v>
      </c>
      <c r="G330" s="47" t="s">
        <v>668</v>
      </c>
      <c r="H330" s="48">
        <v>1975</v>
      </c>
      <c r="I330" s="49">
        <v>45200</v>
      </c>
      <c r="J330" s="26" t="s">
        <v>46</v>
      </c>
      <c r="K330" s="195">
        <v>2007</v>
      </c>
      <c r="L330" s="49" t="s">
        <v>669</v>
      </c>
      <c r="M330" s="27">
        <v>45218</v>
      </c>
      <c r="N330" s="27">
        <f t="shared" si="20"/>
        <v>47045</v>
      </c>
      <c r="O330" s="27" t="str">
        <f>VLOOKUP(F330,'[1]PZ a UTZ'!$E$2:$H$335,3,FALSE)</f>
        <v>PZ 10301/96-E.49</v>
      </c>
      <c r="P330" s="27">
        <f>VLOOKUP(F330,'[1]PZ a UTZ'!$E$2:$H$335,4,FALSE)</f>
        <v>44138</v>
      </c>
      <c r="Q330" s="27">
        <f t="shared" si="18"/>
        <v>45964</v>
      </c>
      <c r="R330" s="242" t="s">
        <v>1498</v>
      </c>
      <c r="S330" s="258">
        <v>725339124</v>
      </c>
      <c r="T330" s="274" t="s">
        <v>1177</v>
      </c>
    </row>
    <row r="331" spans="2:20" x14ac:dyDescent="0.25">
      <c r="B331" s="10">
        <v>330</v>
      </c>
      <c r="C331" s="45" t="s">
        <v>190</v>
      </c>
      <c r="D331" s="22" t="s">
        <v>116</v>
      </c>
      <c r="E331" s="46" t="s">
        <v>112</v>
      </c>
      <c r="F331" s="47">
        <v>11.548999999999999</v>
      </c>
      <c r="G331" s="47" t="s">
        <v>670</v>
      </c>
      <c r="H331" s="95">
        <v>1975</v>
      </c>
      <c r="I331" s="49">
        <v>45200</v>
      </c>
      <c r="J331" s="49" t="s">
        <v>671</v>
      </c>
      <c r="K331" s="184" t="s">
        <v>672</v>
      </c>
      <c r="L331" s="49" t="s">
        <v>673</v>
      </c>
      <c r="M331" s="27">
        <v>45218</v>
      </c>
      <c r="N331" s="27">
        <f t="shared" si="20"/>
        <v>47045</v>
      </c>
      <c r="O331" s="27" t="str">
        <f>VLOOKUP(F331,'[1]PZ a UTZ'!$E$2:$H$335,3,FALSE)</f>
        <v>PZ 10302/96-E.49</v>
      </c>
      <c r="P331" s="27">
        <f>VLOOKUP(F331,'[1]PZ a UTZ'!$E$2:$H$335,4,FALSE)</f>
        <v>44138</v>
      </c>
      <c r="Q331" s="27">
        <f t="shared" si="18"/>
        <v>45964</v>
      </c>
      <c r="R331" s="242" t="s">
        <v>1498</v>
      </c>
      <c r="S331" s="258">
        <v>725339124</v>
      </c>
      <c r="T331" s="274" t="s">
        <v>1178</v>
      </c>
    </row>
    <row r="332" spans="2:20" x14ac:dyDescent="0.25">
      <c r="B332" s="10">
        <v>331</v>
      </c>
      <c r="C332" s="53" t="s">
        <v>14</v>
      </c>
      <c r="D332" s="22" t="s">
        <v>1375</v>
      </c>
      <c r="E332" s="46" t="s">
        <v>63</v>
      </c>
      <c r="F332" s="54">
        <v>168.077</v>
      </c>
      <c r="G332" s="47" t="s">
        <v>1376</v>
      </c>
      <c r="H332" s="48">
        <v>1983</v>
      </c>
      <c r="I332" s="49">
        <v>45200</v>
      </c>
      <c r="J332" s="49" t="s">
        <v>83</v>
      </c>
      <c r="K332" s="56">
        <v>1983</v>
      </c>
      <c r="L332" s="49" t="s">
        <v>86</v>
      </c>
      <c r="M332" s="27">
        <v>45223</v>
      </c>
      <c r="N332" s="27">
        <f t="shared" si="20"/>
        <v>47050</v>
      </c>
      <c r="O332" s="27" t="str">
        <f>VLOOKUP(D332,'[1]PZ a UTZ'!$C$341:$H$464,5,FALSE)</f>
        <v>PZ 10144/96-E.49</v>
      </c>
      <c r="P332" s="27">
        <v>45224</v>
      </c>
      <c r="Q332" s="27">
        <f t="shared" si="18"/>
        <v>47051</v>
      </c>
      <c r="R332" s="242" t="s">
        <v>1591</v>
      </c>
      <c r="S332" s="258">
        <v>724862387</v>
      </c>
      <c r="T332" s="274" t="s">
        <v>947</v>
      </c>
    </row>
    <row r="333" spans="2:20" x14ac:dyDescent="0.25">
      <c r="B333" s="10">
        <v>332</v>
      </c>
      <c r="C333" s="53" t="s">
        <v>14</v>
      </c>
      <c r="D333" s="22" t="s">
        <v>1375</v>
      </c>
      <c r="E333" s="46" t="s">
        <v>63</v>
      </c>
      <c r="F333" s="54">
        <v>6.1269999999999998</v>
      </c>
      <c r="G333" s="47" t="s">
        <v>1377</v>
      </c>
      <c r="H333" s="95">
        <v>1983</v>
      </c>
      <c r="I333" s="49">
        <v>45200</v>
      </c>
      <c r="J333" s="26" t="s">
        <v>46</v>
      </c>
      <c r="K333" s="195">
        <v>2005</v>
      </c>
      <c r="L333" s="49" t="s">
        <v>89</v>
      </c>
      <c r="M333" s="27">
        <v>45224</v>
      </c>
      <c r="N333" s="27">
        <f t="shared" si="20"/>
        <v>47051</v>
      </c>
      <c r="O333" s="27" t="str">
        <f>VLOOKUP(D333,'[1]PZ a UTZ'!$C$341:$H$464,5,FALSE)</f>
        <v>PZ 10144/96-E.49</v>
      </c>
      <c r="P333" s="27">
        <f>VLOOKUP(D333,'[1]PZ a UTZ'!$C$341:$H$464,6,FALSE)</f>
        <v>45224</v>
      </c>
      <c r="Q333" s="27">
        <f t="shared" si="18"/>
        <v>47051</v>
      </c>
      <c r="R333" s="242" t="s">
        <v>1483</v>
      </c>
      <c r="S333" s="258">
        <v>724214678</v>
      </c>
      <c r="T333" s="274" t="s">
        <v>1669</v>
      </c>
    </row>
    <row r="334" spans="2:20" x14ac:dyDescent="0.25">
      <c r="B334" s="10">
        <v>333</v>
      </c>
      <c r="C334" s="45" t="s">
        <v>190</v>
      </c>
      <c r="D334" s="22" t="s">
        <v>476</v>
      </c>
      <c r="E334" s="46" t="s">
        <v>63</v>
      </c>
      <c r="F334" s="47">
        <v>160.23099999999999</v>
      </c>
      <c r="G334" s="47" t="s">
        <v>477</v>
      </c>
      <c r="H334" s="95">
        <v>1983</v>
      </c>
      <c r="I334" s="49">
        <v>45231</v>
      </c>
      <c r="J334" s="49" t="s">
        <v>49</v>
      </c>
      <c r="K334" s="56">
        <v>2018</v>
      </c>
      <c r="L334" s="49" t="s">
        <v>478</v>
      </c>
      <c r="M334" s="111">
        <v>45232</v>
      </c>
      <c r="N334" s="111">
        <f t="shared" si="20"/>
        <v>47059</v>
      </c>
      <c r="O334" s="111" t="s">
        <v>1615</v>
      </c>
      <c r="P334" s="111">
        <v>44334</v>
      </c>
      <c r="Q334" s="111">
        <f t="shared" si="18"/>
        <v>46160</v>
      </c>
      <c r="R334" s="242" t="s">
        <v>1502</v>
      </c>
      <c r="S334" s="258">
        <v>724862388</v>
      </c>
      <c r="T334" s="274" t="s">
        <v>1112</v>
      </c>
    </row>
    <row r="335" spans="2:20" x14ac:dyDescent="0.25">
      <c r="B335" s="10">
        <v>334</v>
      </c>
      <c r="C335" s="45" t="s">
        <v>190</v>
      </c>
      <c r="D335" s="22" t="s">
        <v>479</v>
      </c>
      <c r="E335" s="46" t="s">
        <v>63</v>
      </c>
      <c r="F335" s="47">
        <v>160.941</v>
      </c>
      <c r="G335" s="47" t="s">
        <v>480</v>
      </c>
      <c r="H335" s="95">
        <v>1983</v>
      </c>
      <c r="I335" s="49">
        <v>45231</v>
      </c>
      <c r="J335" s="49" t="s">
        <v>49</v>
      </c>
      <c r="K335" s="56">
        <v>2018</v>
      </c>
      <c r="L335" s="49" t="s">
        <v>481</v>
      </c>
      <c r="M335" s="111">
        <v>45232</v>
      </c>
      <c r="N335" s="111">
        <f t="shared" si="20"/>
        <v>47059</v>
      </c>
      <c r="O335" s="111" t="s">
        <v>1616</v>
      </c>
      <c r="P335" s="111">
        <v>44334</v>
      </c>
      <c r="Q335" s="111">
        <f t="shared" si="18"/>
        <v>46160</v>
      </c>
      <c r="R335" s="242" t="s">
        <v>1502</v>
      </c>
      <c r="S335" s="258">
        <v>724862388</v>
      </c>
      <c r="T335" s="274" t="s">
        <v>1113</v>
      </c>
    </row>
    <row r="336" spans="2:20" x14ac:dyDescent="0.25">
      <c r="B336" s="10">
        <v>335</v>
      </c>
      <c r="C336" s="45" t="s">
        <v>190</v>
      </c>
      <c r="D336" s="22" t="s">
        <v>482</v>
      </c>
      <c r="E336" s="46" t="s">
        <v>63</v>
      </c>
      <c r="F336" s="47">
        <v>161.291</v>
      </c>
      <c r="G336" s="47" t="s">
        <v>483</v>
      </c>
      <c r="H336" s="95">
        <v>1983</v>
      </c>
      <c r="I336" s="49">
        <v>45231</v>
      </c>
      <c r="J336" s="49" t="s">
        <v>49</v>
      </c>
      <c r="K336" s="56">
        <v>2018</v>
      </c>
      <c r="L336" s="49" t="s">
        <v>484</v>
      </c>
      <c r="M336" s="111">
        <v>45232</v>
      </c>
      <c r="N336" s="111">
        <f t="shared" si="20"/>
        <v>47059</v>
      </c>
      <c r="O336" s="111" t="s">
        <v>1617</v>
      </c>
      <c r="P336" s="111">
        <v>44334</v>
      </c>
      <c r="Q336" s="111">
        <f t="shared" si="18"/>
        <v>46160</v>
      </c>
      <c r="R336" s="242" t="s">
        <v>1502</v>
      </c>
      <c r="S336" s="258">
        <v>724862388</v>
      </c>
      <c r="T336" s="274" t="s">
        <v>1114</v>
      </c>
    </row>
    <row r="337" spans="2:20" x14ac:dyDescent="0.25">
      <c r="B337" s="10">
        <v>336</v>
      </c>
      <c r="C337" s="155" t="s">
        <v>14</v>
      </c>
      <c r="D337" s="28" t="s">
        <v>1378</v>
      </c>
      <c r="E337" s="46" t="s">
        <v>112</v>
      </c>
      <c r="F337" s="54">
        <v>2.681</v>
      </c>
      <c r="G337" s="47" t="s">
        <v>1379</v>
      </c>
      <c r="H337" s="48">
        <v>1965</v>
      </c>
      <c r="I337" s="49">
        <v>45231</v>
      </c>
      <c r="J337" s="26" t="s">
        <v>46</v>
      </c>
      <c r="K337" s="195">
        <v>2011</v>
      </c>
      <c r="L337" s="127" t="s">
        <v>871</v>
      </c>
      <c r="M337" s="27">
        <v>45251</v>
      </c>
      <c r="N337" s="27">
        <f t="shared" si="20"/>
        <v>47078</v>
      </c>
      <c r="O337" s="27" t="str">
        <f>VLOOKUP(D337,'[1]PZ a UTZ'!$C$341:$H$464,5,FALSE)</f>
        <v>PZ 10168/96-E.49</v>
      </c>
      <c r="P337" s="27">
        <f>VLOOKUP(D337,'[1]PZ a UTZ'!$C$341:$H$464,6,FALSE)</f>
        <v>44145</v>
      </c>
      <c r="Q337" s="27">
        <f t="shared" si="18"/>
        <v>45971</v>
      </c>
      <c r="R337" s="242" t="s">
        <v>1498</v>
      </c>
      <c r="S337" s="258">
        <v>725339124</v>
      </c>
      <c r="T337" s="273" t="s">
        <v>1259</v>
      </c>
    </row>
    <row r="338" spans="2:20" x14ac:dyDescent="0.25">
      <c r="B338" s="10">
        <v>337</v>
      </c>
      <c r="C338" s="21" t="s">
        <v>190</v>
      </c>
      <c r="D338" s="22" t="s">
        <v>240</v>
      </c>
      <c r="E338" s="23" t="s">
        <v>39</v>
      </c>
      <c r="F338" s="170">
        <v>293.20400000000001</v>
      </c>
      <c r="G338" s="170" t="s">
        <v>241</v>
      </c>
      <c r="H338" s="25">
        <v>1999</v>
      </c>
      <c r="I338" s="49">
        <v>45323</v>
      </c>
      <c r="J338" s="26" t="s">
        <v>46</v>
      </c>
      <c r="K338" s="86">
        <v>1999</v>
      </c>
      <c r="L338" s="49" t="s">
        <v>242</v>
      </c>
      <c r="M338" s="27">
        <v>45322</v>
      </c>
      <c r="N338" s="27">
        <f t="shared" si="20"/>
        <v>47149</v>
      </c>
      <c r="O338" s="27" t="str">
        <f>VLOOKUP(F338,'[1]PZ a UTZ'!$E$2:$H$335,3,FALSE)</f>
        <v>PZ 0540/99-E.48</v>
      </c>
      <c r="P338" s="27">
        <f>VLOOKUP(F338,'[1]PZ a UTZ'!$E$2:$H$335,4,FALSE)</f>
        <v>43559</v>
      </c>
      <c r="Q338" s="27">
        <f t="shared" si="18"/>
        <v>45386</v>
      </c>
      <c r="R338" s="242" t="s">
        <v>1520</v>
      </c>
      <c r="S338" s="258">
        <v>725741945</v>
      </c>
      <c r="T338" s="268" t="s">
        <v>1021</v>
      </c>
    </row>
    <row r="339" spans="2:20" x14ac:dyDescent="0.25">
      <c r="B339" s="10">
        <v>338</v>
      </c>
      <c r="C339" s="21" t="s">
        <v>190</v>
      </c>
      <c r="D339" s="22" t="s">
        <v>233</v>
      </c>
      <c r="E339" s="23" t="s">
        <v>39</v>
      </c>
      <c r="F339" s="162">
        <v>306.24700000000001</v>
      </c>
      <c r="G339" s="24" t="s">
        <v>234</v>
      </c>
      <c r="H339" s="25">
        <v>2004</v>
      </c>
      <c r="I339" s="26">
        <v>45323</v>
      </c>
      <c r="J339" s="26" t="s">
        <v>46</v>
      </c>
      <c r="K339" s="86">
        <v>2003</v>
      </c>
      <c r="L339" s="26" t="s">
        <v>235</v>
      </c>
      <c r="M339" s="27">
        <v>45322</v>
      </c>
      <c r="N339" s="27">
        <f t="shared" si="20"/>
        <v>47149</v>
      </c>
      <c r="O339" s="27" t="str">
        <f>VLOOKUP(F339,'[1]PZ a UTZ'!$E$2:$H$335,3,FALSE)</f>
        <v>PZ 2656/03-E.49</v>
      </c>
      <c r="P339" s="27">
        <f>VLOOKUP(F339,'[1]PZ a UTZ'!$E$2:$H$335,4,FALSE)</f>
        <v>45181</v>
      </c>
      <c r="Q339" s="27">
        <f t="shared" si="18"/>
        <v>47008</v>
      </c>
      <c r="R339" s="242" t="s">
        <v>1519</v>
      </c>
      <c r="S339" s="258">
        <v>602668277</v>
      </c>
      <c r="T339" s="268" t="s">
        <v>1018</v>
      </c>
    </row>
    <row r="340" spans="2:20" x14ac:dyDescent="0.25">
      <c r="B340" s="10">
        <v>339</v>
      </c>
      <c r="C340" s="21" t="s">
        <v>190</v>
      </c>
      <c r="D340" s="22" t="s">
        <v>236</v>
      </c>
      <c r="E340" s="23" t="s">
        <v>39</v>
      </c>
      <c r="F340" s="170">
        <v>304.77</v>
      </c>
      <c r="G340" s="170" t="s">
        <v>237</v>
      </c>
      <c r="H340" s="34">
        <v>2002</v>
      </c>
      <c r="I340" s="49">
        <v>45323</v>
      </c>
      <c r="J340" s="26" t="s">
        <v>46</v>
      </c>
      <c r="K340" s="86">
        <v>2001</v>
      </c>
      <c r="L340" s="49" t="s">
        <v>238</v>
      </c>
      <c r="M340" s="27">
        <v>45328</v>
      </c>
      <c r="N340" s="27">
        <f t="shared" si="20"/>
        <v>47155</v>
      </c>
      <c r="O340" s="27" t="str">
        <f>VLOOKUP(F340,'[1]PZ a UTZ'!$E$2:$H$335,3,FALSE)</f>
        <v>PZ 2428/01-E.48</v>
      </c>
      <c r="P340" s="27">
        <f>VLOOKUP(F340,'[1]PZ a UTZ'!$E$2:$H$335,4,FALSE)</f>
        <v>44299</v>
      </c>
      <c r="Q340" s="27">
        <f t="shared" si="18"/>
        <v>46125</v>
      </c>
      <c r="R340" s="242" t="s">
        <v>1519</v>
      </c>
      <c r="S340" s="258">
        <v>602668277</v>
      </c>
      <c r="T340" s="268" t="s">
        <v>1019</v>
      </c>
    </row>
    <row r="341" spans="2:20" x14ac:dyDescent="0.25">
      <c r="B341" s="10">
        <v>340</v>
      </c>
      <c r="C341" s="21" t="s">
        <v>190</v>
      </c>
      <c r="D341" s="22" t="s">
        <v>218</v>
      </c>
      <c r="E341" s="23" t="s">
        <v>39</v>
      </c>
      <c r="F341" s="24">
        <v>325.04300000000001</v>
      </c>
      <c r="G341" s="24" t="s">
        <v>219</v>
      </c>
      <c r="H341" s="48">
        <v>1995</v>
      </c>
      <c r="I341" s="127">
        <v>45323</v>
      </c>
      <c r="J341" s="26" t="s">
        <v>46</v>
      </c>
      <c r="K341" s="195">
        <v>1995</v>
      </c>
      <c r="L341" s="127" t="s">
        <v>220</v>
      </c>
      <c r="M341" s="27">
        <v>45329</v>
      </c>
      <c r="N341" s="27">
        <f t="shared" si="20"/>
        <v>47156</v>
      </c>
      <c r="O341" s="27" t="str">
        <f>VLOOKUP(F341,'[1]PZ a UTZ'!$E$2:$H$335,3,FALSE)</f>
        <v>PZ 1342/95-E.49</v>
      </c>
      <c r="P341" s="27">
        <f>VLOOKUP(F341,'[1]PZ a UTZ'!$E$2:$H$335,4,FALSE)</f>
        <v>44075</v>
      </c>
      <c r="Q341" s="27">
        <f t="shared" si="18"/>
        <v>45901</v>
      </c>
      <c r="R341" s="242" t="s">
        <v>1584</v>
      </c>
      <c r="S341" s="258">
        <v>725582093</v>
      </c>
      <c r="T341" s="268" t="s">
        <v>1012</v>
      </c>
    </row>
    <row r="342" spans="2:20" x14ac:dyDescent="0.25">
      <c r="B342" s="10">
        <v>341</v>
      </c>
      <c r="C342" s="53" t="s">
        <v>14</v>
      </c>
      <c r="D342" s="28" t="s">
        <v>218</v>
      </c>
      <c r="E342" s="123" t="s">
        <v>39</v>
      </c>
      <c r="F342" s="124">
        <v>325.36399999999998</v>
      </c>
      <c r="G342" s="47" t="s">
        <v>1380</v>
      </c>
      <c r="H342" s="48">
        <v>1995</v>
      </c>
      <c r="I342" s="127">
        <v>45323</v>
      </c>
      <c r="J342" s="26" t="s">
        <v>46</v>
      </c>
      <c r="K342" s="195">
        <v>1995</v>
      </c>
      <c r="L342" s="127" t="s">
        <v>47</v>
      </c>
      <c r="M342" s="27">
        <v>45329</v>
      </c>
      <c r="N342" s="27">
        <f t="shared" si="20"/>
        <v>47156</v>
      </c>
      <c r="O342" s="27" t="str">
        <f>VLOOKUP(D342,'[1]PZ a UTZ'!$C$341:$H$464,5,FALSE)</f>
        <v>PZ 1341/95-E.49</v>
      </c>
      <c r="P342" s="27">
        <f>VLOOKUP(D342,'[1]PZ a UTZ'!$C$341:$H$464,6,FALSE)</f>
        <v>44075</v>
      </c>
      <c r="Q342" s="27">
        <f t="shared" si="18"/>
        <v>45901</v>
      </c>
      <c r="R342" s="242" t="s">
        <v>1484</v>
      </c>
      <c r="S342" s="258">
        <v>724450266</v>
      </c>
      <c r="T342" s="289" t="s">
        <v>1670</v>
      </c>
    </row>
    <row r="343" spans="2:20" x14ac:dyDescent="0.25">
      <c r="B343" s="10">
        <v>342</v>
      </c>
      <c r="C343" s="100" t="s">
        <v>1289</v>
      </c>
      <c r="D343" s="198" t="s">
        <v>218</v>
      </c>
      <c r="E343" s="120" t="s">
        <v>39</v>
      </c>
      <c r="F343" s="121">
        <v>325.36399999999998</v>
      </c>
      <c r="G343" s="104" t="s">
        <v>1370</v>
      </c>
      <c r="H343" s="105">
        <v>1995</v>
      </c>
      <c r="I343" s="153">
        <v>45323</v>
      </c>
      <c r="J343" s="135" t="s">
        <v>42</v>
      </c>
      <c r="K343" s="199">
        <v>2013</v>
      </c>
      <c r="L343" s="153" t="s">
        <v>1381</v>
      </c>
      <c r="M343" s="108">
        <v>45329</v>
      </c>
      <c r="N343" s="108">
        <f t="shared" si="20"/>
        <v>47156</v>
      </c>
      <c r="O343" s="209"/>
      <c r="P343" s="209"/>
      <c r="Q343" s="209"/>
      <c r="R343" s="246" t="s">
        <v>1484</v>
      </c>
      <c r="S343" s="262">
        <v>724450266</v>
      </c>
      <c r="T343" s="300" t="s">
        <v>1670</v>
      </c>
    </row>
    <row r="344" spans="2:20" x14ac:dyDescent="0.25">
      <c r="B344" s="10">
        <v>343</v>
      </c>
      <c r="C344" s="53" t="s">
        <v>72</v>
      </c>
      <c r="D344" s="22" t="s">
        <v>1382</v>
      </c>
      <c r="E344" s="200" t="s">
        <v>39</v>
      </c>
      <c r="F344" s="124">
        <v>325.36399999999998</v>
      </c>
      <c r="G344" s="24" t="s">
        <v>1383</v>
      </c>
      <c r="H344" s="25">
        <v>2009</v>
      </c>
      <c r="I344" s="49">
        <v>39934</v>
      </c>
      <c r="J344" s="49" t="s">
        <v>40</v>
      </c>
      <c r="K344" s="56">
        <v>1995</v>
      </c>
      <c r="L344" s="26" t="s">
        <v>47</v>
      </c>
      <c r="M344" s="27">
        <v>45329</v>
      </c>
      <c r="N344" s="27">
        <f t="shared" si="20"/>
        <v>47156</v>
      </c>
      <c r="O344" s="27" t="e">
        <f>VLOOKUP(D344,'[1]PZ a UTZ'!B535:G628,5,FALSE)</f>
        <v>#N/A</v>
      </c>
      <c r="P344" s="27" t="e">
        <f>VLOOKUP(D344,'[1]PZ a UTZ'!B535:G628,6,FALSE)</f>
        <v>#N/A</v>
      </c>
      <c r="Q344" s="27" t="e">
        <f>EDATE(P344,60)</f>
        <v>#N/A</v>
      </c>
      <c r="R344" s="242" t="s">
        <v>1484</v>
      </c>
      <c r="S344" s="258">
        <v>724450266</v>
      </c>
      <c r="T344" s="280" t="s">
        <v>1671</v>
      </c>
    </row>
    <row r="345" spans="2:20" x14ac:dyDescent="0.25">
      <c r="B345" s="10">
        <v>344</v>
      </c>
      <c r="C345" s="119" t="s">
        <v>72</v>
      </c>
      <c r="D345" s="30" t="s">
        <v>1384</v>
      </c>
      <c r="E345" s="130" t="s">
        <v>39</v>
      </c>
      <c r="F345" s="118">
        <v>320.56599999999997</v>
      </c>
      <c r="G345" s="84" t="s">
        <v>1347</v>
      </c>
      <c r="H345" s="99">
        <v>2020</v>
      </c>
      <c r="I345" s="44">
        <v>43891</v>
      </c>
      <c r="J345" s="96" t="s">
        <v>40</v>
      </c>
      <c r="K345" s="184">
        <v>1995</v>
      </c>
      <c r="L345" s="175" t="s">
        <v>47</v>
      </c>
      <c r="M345" s="37">
        <v>45329</v>
      </c>
      <c r="N345" s="37">
        <f t="shared" si="20"/>
        <v>47156</v>
      </c>
      <c r="O345" s="37" t="e">
        <f>VLOOKUP(D345,'[1]PZ a UTZ'!B534:G627,5,FALSE)</f>
        <v>#N/A</v>
      </c>
      <c r="P345" s="37" t="e">
        <f>VLOOKUP(D345,'[1]PZ a UTZ'!B534:G627,6,FALSE)</f>
        <v>#N/A</v>
      </c>
      <c r="Q345" s="37" t="e">
        <f>EDATE(P345,60)</f>
        <v>#N/A</v>
      </c>
      <c r="R345" s="243" t="s">
        <v>1486</v>
      </c>
      <c r="S345" s="259">
        <v>724862431</v>
      </c>
      <c r="T345" s="286" t="s">
        <v>1672</v>
      </c>
    </row>
    <row r="346" spans="2:20" x14ac:dyDescent="0.25">
      <c r="B346" s="10">
        <v>345</v>
      </c>
      <c r="C346" s="45" t="s">
        <v>190</v>
      </c>
      <c r="D346" s="22" t="s">
        <v>776</v>
      </c>
      <c r="E346" s="46" t="s">
        <v>772</v>
      </c>
      <c r="F346" s="47">
        <v>11.494999999999999</v>
      </c>
      <c r="G346" s="47" t="s">
        <v>777</v>
      </c>
      <c r="H346" s="56">
        <v>2014</v>
      </c>
      <c r="I346" s="49">
        <v>45323</v>
      </c>
      <c r="J346" s="49" t="s">
        <v>124</v>
      </c>
      <c r="K346" s="56">
        <v>2014</v>
      </c>
      <c r="L346" s="49" t="s">
        <v>778</v>
      </c>
      <c r="M346" s="27">
        <v>45335</v>
      </c>
      <c r="N346" s="27">
        <f t="shared" si="20"/>
        <v>47162</v>
      </c>
      <c r="O346" s="27" t="str">
        <f>VLOOKUP(F346,'[1]PZ a UTZ'!$E$2:$H$335,3,FALSE)</f>
        <v>PZ 0489/14-E.49</v>
      </c>
      <c r="P346" s="27">
        <f>VLOOKUP(F346,'[1]PZ a UTZ'!$E$2:$H$335,4,FALSE)</f>
        <v>43572</v>
      </c>
      <c r="Q346" s="27">
        <f>EDATE(P346,60)</f>
        <v>45399</v>
      </c>
      <c r="R346" s="242" t="s">
        <v>1483</v>
      </c>
      <c r="S346" s="258">
        <v>724214678</v>
      </c>
      <c r="T346" s="274" t="s">
        <v>1226</v>
      </c>
    </row>
    <row r="347" spans="2:20" x14ac:dyDescent="0.25">
      <c r="B347" s="10">
        <v>346</v>
      </c>
      <c r="C347" s="45" t="s">
        <v>190</v>
      </c>
      <c r="D347" s="22" t="s">
        <v>189</v>
      </c>
      <c r="E347" s="51" t="s">
        <v>92</v>
      </c>
      <c r="F347" s="47">
        <v>18.437000000000001</v>
      </c>
      <c r="G347" s="47" t="s">
        <v>747</v>
      </c>
      <c r="H347" s="56">
        <v>2009</v>
      </c>
      <c r="I347" s="49">
        <v>45323</v>
      </c>
      <c r="J347" s="49" t="s">
        <v>120</v>
      </c>
      <c r="K347" s="56">
        <v>2009</v>
      </c>
      <c r="L347" s="49" t="s">
        <v>748</v>
      </c>
      <c r="M347" s="27">
        <v>45335</v>
      </c>
      <c r="N347" s="27">
        <f t="shared" si="20"/>
        <v>47162</v>
      </c>
      <c r="O347" s="27" t="str">
        <f>VLOOKUP(F347,'[1]PZ a UTZ'!$E$2:$H$335,3,FALSE)</f>
        <v>PZ 1366/09-E.49</v>
      </c>
      <c r="P347" s="27">
        <f>VLOOKUP(F347,'[1]PZ a UTZ'!$E$2:$H$335,4,FALSE)</f>
        <v>43572</v>
      </c>
      <c r="Q347" s="27">
        <f>EDATE(P347,60)</f>
        <v>45399</v>
      </c>
      <c r="R347" s="242" t="s">
        <v>1502</v>
      </c>
      <c r="S347" s="258">
        <v>724862388</v>
      </c>
      <c r="T347" s="274" t="s">
        <v>1219</v>
      </c>
    </row>
    <row r="348" spans="2:20" x14ac:dyDescent="0.25">
      <c r="B348" s="10">
        <v>347</v>
      </c>
      <c r="C348" s="53" t="s">
        <v>14</v>
      </c>
      <c r="D348" s="22" t="s">
        <v>87</v>
      </c>
      <c r="E348" s="46" t="s">
        <v>63</v>
      </c>
      <c r="F348" s="54">
        <v>179.16499999999999</v>
      </c>
      <c r="G348" s="47" t="s">
        <v>1359</v>
      </c>
      <c r="H348" s="95">
        <v>2008</v>
      </c>
      <c r="I348" s="49">
        <v>45323</v>
      </c>
      <c r="J348" s="49" t="s">
        <v>17</v>
      </c>
      <c r="K348" s="56">
        <v>2009</v>
      </c>
      <c r="L348" s="49" t="s">
        <v>88</v>
      </c>
      <c r="M348" s="27">
        <v>45341</v>
      </c>
      <c r="N348" s="27">
        <f t="shared" si="20"/>
        <v>47168</v>
      </c>
      <c r="O348" s="27" t="str">
        <f>VLOOKUP(D348,'[1]PZ a UTZ'!$C$341:$H$464,5,FALSE)</f>
        <v>PZ 1325/09-E.49</v>
      </c>
      <c r="P348" s="27">
        <f>VLOOKUP(D348,'[1]PZ a UTZ'!$C$341:$H$464,6,FALSE)</f>
        <v>43565</v>
      </c>
      <c r="Q348" s="27">
        <f>EDATE(P348,60)</f>
        <v>45392</v>
      </c>
      <c r="R348" s="242" t="s">
        <v>1483</v>
      </c>
      <c r="S348" s="258">
        <v>724214678</v>
      </c>
      <c r="T348" s="274" t="s">
        <v>948</v>
      </c>
    </row>
    <row r="349" spans="2:20" x14ac:dyDescent="0.25">
      <c r="B349" s="10">
        <v>348</v>
      </c>
      <c r="C349" s="57" t="s">
        <v>885</v>
      </c>
      <c r="D349" s="58" t="s">
        <v>87</v>
      </c>
      <c r="E349" s="59" t="s">
        <v>63</v>
      </c>
      <c r="F349" s="60">
        <v>179.16499999999999</v>
      </c>
      <c r="G349" s="61" t="s">
        <v>1276</v>
      </c>
      <c r="H349" s="95">
        <v>2008</v>
      </c>
      <c r="I349" s="64">
        <v>45323</v>
      </c>
      <c r="J349" s="64" t="s">
        <v>17</v>
      </c>
      <c r="K349" s="113">
        <v>2009</v>
      </c>
      <c r="L349" s="64" t="s">
        <v>886</v>
      </c>
      <c r="M349" s="67">
        <v>45341</v>
      </c>
      <c r="N349" s="67">
        <f t="shared" si="20"/>
        <v>47168</v>
      </c>
      <c r="O349" s="209"/>
      <c r="P349" s="209"/>
      <c r="Q349" s="209"/>
      <c r="R349" s="245" t="s">
        <v>1483</v>
      </c>
      <c r="S349" s="261">
        <v>724214678</v>
      </c>
      <c r="T349" s="275" t="s">
        <v>948</v>
      </c>
    </row>
    <row r="350" spans="2:20" x14ac:dyDescent="0.25">
      <c r="B350" s="10">
        <v>349</v>
      </c>
      <c r="C350" s="100" t="s">
        <v>1289</v>
      </c>
      <c r="D350" s="101" t="s">
        <v>87</v>
      </c>
      <c r="E350" s="102" t="s">
        <v>63</v>
      </c>
      <c r="F350" s="103">
        <v>179.16499999999999</v>
      </c>
      <c r="G350" s="104" t="s">
        <v>1385</v>
      </c>
      <c r="H350" s="95">
        <v>2008</v>
      </c>
      <c r="I350" s="106">
        <v>45323</v>
      </c>
      <c r="J350" s="106" t="s">
        <v>49</v>
      </c>
      <c r="K350" s="107">
        <v>2009</v>
      </c>
      <c r="L350" s="106" t="s">
        <v>1386</v>
      </c>
      <c r="M350" s="108">
        <v>45341</v>
      </c>
      <c r="N350" s="108">
        <f t="shared" si="20"/>
        <v>47168</v>
      </c>
      <c r="O350" s="209"/>
      <c r="P350" s="209"/>
      <c r="Q350" s="209"/>
      <c r="R350" s="246" t="s">
        <v>1483</v>
      </c>
      <c r="S350" s="262">
        <v>724214678</v>
      </c>
      <c r="T350" s="283" t="s">
        <v>948</v>
      </c>
    </row>
    <row r="351" spans="2:20" x14ac:dyDescent="0.25">
      <c r="B351" s="10">
        <v>350</v>
      </c>
      <c r="C351" s="53" t="s">
        <v>14</v>
      </c>
      <c r="D351" s="22" t="s">
        <v>122</v>
      </c>
      <c r="E351" s="46" t="s">
        <v>112</v>
      </c>
      <c r="F351" s="54">
        <v>23.573</v>
      </c>
      <c r="G351" s="47"/>
      <c r="H351" s="48">
        <v>1967</v>
      </c>
      <c r="I351" s="49">
        <v>45323</v>
      </c>
      <c r="J351" s="49" t="s">
        <v>124</v>
      </c>
      <c r="K351" s="86" t="s">
        <v>125</v>
      </c>
      <c r="L351" s="49" t="s">
        <v>126</v>
      </c>
      <c r="M351" s="27">
        <v>45348</v>
      </c>
      <c r="N351" s="27">
        <f t="shared" si="20"/>
        <v>47175</v>
      </c>
      <c r="O351" s="27" t="str">
        <f>VLOOKUP(D351,'[1]PZ a UTZ'!$C$341:$H$464,5,FALSE)</f>
        <v>PZ 10170/96-E.49</v>
      </c>
      <c r="P351" s="27">
        <f>VLOOKUP(D351,'[1]PZ a UTZ'!$C$341:$H$464,6,FALSE)</f>
        <v>44378</v>
      </c>
      <c r="Q351" s="27">
        <f>EDATE(P351,60)</f>
        <v>46204</v>
      </c>
      <c r="R351" s="242" t="s">
        <v>1498</v>
      </c>
      <c r="S351" s="258">
        <v>725339124</v>
      </c>
      <c r="T351" s="274" t="s">
        <v>964</v>
      </c>
    </row>
    <row r="352" spans="2:20" x14ac:dyDescent="0.25">
      <c r="B352" s="10">
        <v>351</v>
      </c>
      <c r="C352" s="100" t="s">
        <v>1289</v>
      </c>
      <c r="D352" s="101" t="s">
        <v>122</v>
      </c>
      <c r="E352" s="102" t="s">
        <v>112</v>
      </c>
      <c r="F352" s="103">
        <v>23.573</v>
      </c>
      <c r="G352" s="104"/>
      <c r="H352" s="105">
        <v>1967</v>
      </c>
      <c r="I352" s="106">
        <v>45323</v>
      </c>
      <c r="J352" s="106" t="s">
        <v>42</v>
      </c>
      <c r="K352" s="145">
        <v>2013</v>
      </c>
      <c r="L352" s="106" t="s">
        <v>1387</v>
      </c>
      <c r="M352" s="108">
        <v>45348</v>
      </c>
      <c r="N352" s="108">
        <f t="shared" si="20"/>
        <v>47175</v>
      </c>
      <c r="O352" s="209"/>
      <c r="P352" s="209"/>
      <c r="Q352" s="209"/>
      <c r="R352" s="246" t="s">
        <v>1498</v>
      </c>
      <c r="S352" s="262">
        <v>725339124</v>
      </c>
      <c r="T352" s="283" t="s">
        <v>964</v>
      </c>
    </row>
    <row r="353" spans="2:20" x14ac:dyDescent="0.25">
      <c r="B353" s="10">
        <v>352</v>
      </c>
      <c r="C353" s="45" t="s">
        <v>190</v>
      </c>
      <c r="D353" s="22" t="s">
        <v>528</v>
      </c>
      <c r="E353" s="46" t="s">
        <v>94</v>
      </c>
      <c r="F353" s="47">
        <v>91.162999999999997</v>
      </c>
      <c r="G353" s="47" t="s">
        <v>529</v>
      </c>
      <c r="H353" s="95">
        <v>1987</v>
      </c>
      <c r="I353" s="127">
        <v>45323</v>
      </c>
      <c r="J353" s="26" t="s">
        <v>46</v>
      </c>
      <c r="K353" s="86">
        <v>2004</v>
      </c>
      <c r="L353" s="127" t="s">
        <v>530</v>
      </c>
      <c r="M353" s="27">
        <v>45349</v>
      </c>
      <c r="N353" s="27">
        <f t="shared" si="20"/>
        <v>47176</v>
      </c>
      <c r="O353" s="27" t="str">
        <f>VLOOKUP(F353,'[1]PZ a UTZ'!$E$2:$H$335,3,FALSE)</f>
        <v>PZ 12057/96-E.49</v>
      </c>
      <c r="P353" s="27">
        <f>VLOOKUP(F353,'[1]PZ a UTZ'!$E$2:$H$335,4,FALSE)</f>
        <v>43508</v>
      </c>
      <c r="Q353" s="27">
        <f t="shared" ref="Q353:Q364" si="21">EDATE(P353,60)</f>
        <v>45334</v>
      </c>
      <c r="R353" s="242" t="s">
        <v>1618</v>
      </c>
      <c r="S353" s="258">
        <v>607233605</v>
      </c>
      <c r="T353" s="274" t="s">
        <v>1131</v>
      </c>
    </row>
    <row r="354" spans="2:20" x14ac:dyDescent="0.25">
      <c r="B354" s="10">
        <v>353</v>
      </c>
      <c r="C354" s="45" t="s">
        <v>190</v>
      </c>
      <c r="D354" s="22" t="s">
        <v>75</v>
      </c>
      <c r="E354" s="46" t="s">
        <v>63</v>
      </c>
      <c r="F354" s="47">
        <v>147.999</v>
      </c>
      <c r="G354" s="47" t="s">
        <v>453</v>
      </c>
      <c r="H354" s="95">
        <v>1975</v>
      </c>
      <c r="I354" s="49">
        <v>45352</v>
      </c>
      <c r="J354" s="26" t="s">
        <v>46</v>
      </c>
      <c r="K354" s="86" t="s">
        <v>454</v>
      </c>
      <c r="L354" s="49" t="s">
        <v>455</v>
      </c>
      <c r="M354" s="27">
        <v>45356</v>
      </c>
      <c r="N354" s="27">
        <f t="shared" si="20"/>
        <v>47182</v>
      </c>
      <c r="O354" s="27" t="s">
        <v>1619</v>
      </c>
      <c r="P354" s="27">
        <v>44336</v>
      </c>
      <c r="Q354" s="27">
        <f t="shared" si="21"/>
        <v>46162</v>
      </c>
      <c r="R354" s="242" t="s">
        <v>1496</v>
      </c>
      <c r="S354" s="258">
        <v>601375102</v>
      </c>
      <c r="T354" s="274" t="s">
        <v>1102</v>
      </c>
    </row>
    <row r="355" spans="2:20" x14ac:dyDescent="0.25">
      <c r="B355" s="10">
        <v>354</v>
      </c>
      <c r="C355" s="45" t="s">
        <v>190</v>
      </c>
      <c r="D355" s="22" t="s">
        <v>75</v>
      </c>
      <c r="E355" s="46" t="s">
        <v>63</v>
      </c>
      <c r="F355" s="47">
        <v>148.28</v>
      </c>
      <c r="G355" s="47" t="s">
        <v>456</v>
      </c>
      <c r="H355" s="95">
        <v>1975</v>
      </c>
      <c r="I355" s="49">
        <v>45352</v>
      </c>
      <c r="J355" s="26" t="s">
        <v>46</v>
      </c>
      <c r="K355" s="86">
        <v>2011</v>
      </c>
      <c r="L355" s="49" t="s">
        <v>457</v>
      </c>
      <c r="M355" s="27">
        <v>45356</v>
      </c>
      <c r="N355" s="27">
        <f t="shared" si="20"/>
        <v>47182</v>
      </c>
      <c r="O355" s="27" t="s">
        <v>1620</v>
      </c>
      <c r="P355" s="27">
        <v>44336</v>
      </c>
      <c r="Q355" s="27">
        <f t="shared" si="21"/>
        <v>46162</v>
      </c>
      <c r="R355" s="242" t="s">
        <v>1496</v>
      </c>
      <c r="S355" s="258">
        <v>601375102</v>
      </c>
      <c r="T355" s="274" t="s">
        <v>1103</v>
      </c>
    </row>
    <row r="356" spans="2:20" x14ac:dyDescent="0.25">
      <c r="B356" s="10">
        <v>355</v>
      </c>
      <c r="C356" s="45" t="s">
        <v>190</v>
      </c>
      <c r="D356" s="22" t="s">
        <v>75</v>
      </c>
      <c r="E356" s="46" t="s">
        <v>63</v>
      </c>
      <c r="F356" s="47">
        <v>148.471</v>
      </c>
      <c r="G356" s="47" t="s">
        <v>458</v>
      </c>
      <c r="H356" s="95">
        <v>1975</v>
      </c>
      <c r="I356" s="49">
        <v>45352</v>
      </c>
      <c r="J356" s="26" t="s">
        <v>46</v>
      </c>
      <c r="K356" s="86" t="s">
        <v>454</v>
      </c>
      <c r="L356" s="49" t="s">
        <v>459</v>
      </c>
      <c r="M356" s="27">
        <v>45356</v>
      </c>
      <c r="N356" s="27">
        <f t="shared" si="20"/>
        <v>47182</v>
      </c>
      <c r="O356" s="27" t="s">
        <v>1621</v>
      </c>
      <c r="P356" s="27">
        <v>44235</v>
      </c>
      <c r="Q356" s="27">
        <f t="shared" si="21"/>
        <v>46061</v>
      </c>
      <c r="R356" s="242" t="s">
        <v>1496</v>
      </c>
      <c r="S356" s="258">
        <v>601375102</v>
      </c>
      <c r="T356" s="274" t="s">
        <v>1104</v>
      </c>
    </row>
    <row r="357" spans="2:20" x14ac:dyDescent="0.25">
      <c r="B357" s="10">
        <v>356</v>
      </c>
      <c r="C357" s="201" t="s">
        <v>190</v>
      </c>
      <c r="D357" s="30" t="s">
        <v>918</v>
      </c>
      <c r="E357" s="72" t="s">
        <v>772</v>
      </c>
      <c r="F357" s="73">
        <v>42.295999999999999</v>
      </c>
      <c r="G357" s="73" t="s">
        <v>923</v>
      </c>
      <c r="H357" s="89">
        <v>2024</v>
      </c>
      <c r="I357" s="44">
        <v>45352</v>
      </c>
      <c r="J357" s="44" t="s">
        <v>42</v>
      </c>
      <c r="K357" s="36">
        <v>2024</v>
      </c>
      <c r="L357" s="35" t="s">
        <v>917</v>
      </c>
      <c r="M357" s="37">
        <v>45358</v>
      </c>
      <c r="N357" s="37">
        <f t="shared" si="20"/>
        <v>47184</v>
      </c>
      <c r="O357" s="37" t="s">
        <v>1622</v>
      </c>
      <c r="P357" s="37">
        <v>45362</v>
      </c>
      <c r="Q357" s="37">
        <f t="shared" si="21"/>
        <v>47188</v>
      </c>
      <c r="R357" s="243" t="s">
        <v>797</v>
      </c>
      <c r="S357" s="259">
        <v>724862387</v>
      </c>
      <c r="T357" s="278" t="s">
        <v>1271</v>
      </c>
    </row>
    <row r="358" spans="2:20" x14ac:dyDescent="0.25">
      <c r="B358" s="10">
        <v>357</v>
      </c>
      <c r="C358" s="117" t="s">
        <v>190</v>
      </c>
      <c r="D358" s="30" t="s">
        <v>918</v>
      </c>
      <c r="E358" s="72" t="s">
        <v>772</v>
      </c>
      <c r="F358" s="84">
        <v>43.287999999999997</v>
      </c>
      <c r="G358" s="84" t="s">
        <v>919</v>
      </c>
      <c r="H358" s="99">
        <v>2024</v>
      </c>
      <c r="I358" s="35">
        <v>45352</v>
      </c>
      <c r="J358" s="35" t="s">
        <v>42</v>
      </c>
      <c r="K358" s="85">
        <v>2024</v>
      </c>
      <c r="L358" s="35" t="s">
        <v>917</v>
      </c>
      <c r="M358" s="37">
        <v>45358</v>
      </c>
      <c r="N358" s="37">
        <v>47184</v>
      </c>
      <c r="O358" s="37" t="s">
        <v>1623</v>
      </c>
      <c r="P358" s="37">
        <v>45362</v>
      </c>
      <c r="Q358" s="37">
        <f t="shared" si="21"/>
        <v>47188</v>
      </c>
      <c r="R358" s="243" t="s">
        <v>797</v>
      </c>
      <c r="S358" s="259">
        <v>724862387</v>
      </c>
      <c r="T358" s="286" t="s">
        <v>1268</v>
      </c>
    </row>
    <row r="359" spans="2:20" x14ac:dyDescent="0.25">
      <c r="B359" s="10">
        <v>358</v>
      </c>
      <c r="C359" s="117" t="s">
        <v>190</v>
      </c>
      <c r="D359" s="30" t="s">
        <v>918</v>
      </c>
      <c r="E359" s="72" t="s">
        <v>772</v>
      </c>
      <c r="F359" s="84">
        <v>43.470999999999997</v>
      </c>
      <c r="G359" s="84" t="s">
        <v>920</v>
      </c>
      <c r="H359" s="99">
        <v>2024</v>
      </c>
      <c r="I359" s="35">
        <v>45352</v>
      </c>
      <c r="J359" s="35" t="s">
        <v>42</v>
      </c>
      <c r="K359" s="85">
        <v>2024</v>
      </c>
      <c r="L359" s="35" t="s">
        <v>917</v>
      </c>
      <c r="M359" s="37">
        <v>45359</v>
      </c>
      <c r="N359" s="37">
        <v>47184</v>
      </c>
      <c r="O359" s="37" t="s">
        <v>1624</v>
      </c>
      <c r="P359" s="37">
        <v>45362</v>
      </c>
      <c r="Q359" s="37">
        <f t="shared" si="21"/>
        <v>47188</v>
      </c>
      <c r="R359" s="243" t="s">
        <v>797</v>
      </c>
      <c r="S359" s="259">
        <v>724862387</v>
      </c>
      <c r="T359" s="286" t="s">
        <v>1269</v>
      </c>
    </row>
    <row r="360" spans="2:20" x14ac:dyDescent="0.25">
      <c r="B360" s="10">
        <v>359</v>
      </c>
      <c r="C360" s="117" t="s">
        <v>190</v>
      </c>
      <c r="D360" s="30" t="s">
        <v>921</v>
      </c>
      <c r="E360" s="72" t="s">
        <v>772</v>
      </c>
      <c r="F360" s="84">
        <v>68.492999999999995</v>
      </c>
      <c r="G360" s="84" t="s">
        <v>922</v>
      </c>
      <c r="H360" s="99">
        <v>2024</v>
      </c>
      <c r="I360" s="35">
        <v>45352</v>
      </c>
      <c r="J360" s="35" t="s">
        <v>42</v>
      </c>
      <c r="K360" s="85">
        <v>2024</v>
      </c>
      <c r="L360" s="35" t="s">
        <v>917</v>
      </c>
      <c r="M360" s="37">
        <v>45354</v>
      </c>
      <c r="N360" s="37">
        <v>47184</v>
      </c>
      <c r="O360" s="37" t="s">
        <v>1625</v>
      </c>
      <c r="P360" s="37">
        <v>45359</v>
      </c>
      <c r="Q360" s="37">
        <f t="shared" si="21"/>
        <v>47185</v>
      </c>
      <c r="R360" s="243" t="s">
        <v>797</v>
      </c>
      <c r="S360" s="259">
        <v>724862387</v>
      </c>
      <c r="T360" s="286" t="s">
        <v>1270</v>
      </c>
    </row>
    <row r="361" spans="2:20" x14ac:dyDescent="0.25">
      <c r="B361" s="10">
        <v>360</v>
      </c>
      <c r="C361" s="81" t="s">
        <v>190</v>
      </c>
      <c r="D361" s="22" t="s">
        <v>27</v>
      </c>
      <c r="E361" s="46" t="s">
        <v>25</v>
      </c>
      <c r="F361" s="24">
        <v>8.1609999999999996</v>
      </c>
      <c r="G361" s="24" t="s">
        <v>360</v>
      </c>
      <c r="H361" s="95">
        <v>1972</v>
      </c>
      <c r="I361" s="26">
        <v>45352</v>
      </c>
      <c r="J361" s="26" t="s">
        <v>46</v>
      </c>
      <c r="K361" s="86">
        <v>2006</v>
      </c>
      <c r="L361" s="26" t="s">
        <v>361</v>
      </c>
      <c r="M361" s="27">
        <v>45370</v>
      </c>
      <c r="N361" s="27">
        <f t="shared" ref="N361:N424" si="22">EDATE(M361,60)</f>
        <v>47196</v>
      </c>
      <c r="O361" s="27" t="str">
        <f>VLOOKUP(F361,'[1]PZ a UTZ'!$E$2:$H$335,3,FALSE)</f>
        <v>PZ 4328/97-E.49</v>
      </c>
      <c r="P361" s="27">
        <f>VLOOKUP(F361,'[1]PZ a UTZ'!$E$2:$H$335,4,FALSE)</f>
        <v>44004</v>
      </c>
      <c r="Q361" s="27">
        <f t="shared" si="21"/>
        <v>45830</v>
      </c>
      <c r="R361" s="242" t="s">
        <v>1613</v>
      </c>
      <c r="S361" s="258">
        <v>607233937</v>
      </c>
      <c r="T361" s="268" t="s">
        <v>1065</v>
      </c>
    </row>
    <row r="362" spans="2:20" x14ac:dyDescent="0.25">
      <c r="B362" s="10">
        <v>361</v>
      </c>
      <c r="C362" s="81" t="s">
        <v>190</v>
      </c>
      <c r="D362" s="22" t="s">
        <v>27</v>
      </c>
      <c r="E362" s="46" t="s">
        <v>25</v>
      </c>
      <c r="F362" s="24">
        <v>8.577</v>
      </c>
      <c r="G362" s="24" t="s">
        <v>362</v>
      </c>
      <c r="H362" s="95">
        <v>1972</v>
      </c>
      <c r="I362" s="26">
        <v>45352</v>
      </c>
      <c r="J362" s="26" t="s">
        <v>46</v>
      </c>
      <c r="K362" s="86">
        <v>2008</v>
      </c>
      <c r="L362" s="26" t="s">
        <v>363</v>
      </c>
      <c r="M362" s="27">
        <v>45370</v>
      </c>
      <c r="N362" s="27">
        <f t="shared" si="22"/>
        <v>47196</v>
      </c>
      <c r="O362" s="27" t="str">
        <f>VLOOKUP(F362,'[1]PZ a UTZ'!$E$2:$H$335,3,FALSE)</f>
        <v>PZ 4327/97-E.49</v>
      </c>
      <c r="P362" s="27">
        <f>VLOOKUP(F362,'[1]PZ a UTZ'!$E$2:$H$335,4,FALSE)</f>
        <v>44004</v>
      </c>
      <c r="Q362" s="27">
        <f t="shared" si="21"/>
        <v>45830</v>
      </c>
      <c r="R362" s="242" t="s">
        <v>1613</v>
      </c>
      <c r="S362" s="258">
        <v>607233937</v>
      </c>
      <c r="T362" s="268" t="s">
        <v>1066</v>
      </c>
    </row>
    <row r="363" spans="2:20" x14ac:dyDescent="0.25">
      <c r="B363" s="10">
        <v>362</v>
      </c>
      <c r="C363" s="83" t="s">
        <v>190</v>
      </c>
      <c r="D363" s="30" t="s">
        <v>27</v>
      </c>
      <c r="E363" s="72" t="s">
        <v>25</v>
      </c>
      <c r="F363" s="84">
        <v>9.2129999999999992</v>
      </c>
      <c r="G363" s="84" t="s">
        <v>364</v>
      </c>
      <c r="H363" s="34">
        <v>2024</v>
      </c>
      <c r="I363" s="175">
        <v>45352</v>
      </c>
      <c r="J363" s="175" t="s">
        <v>120</v>
      </c>
      <c r="K363" s="144">
        <v>2008</v>
      </c>
      <c r="L363" s="175" t="s">
        <v>365</v>
      </c>
      <c r="M363" s="97">
        <v>45370</v>
      </c>
      <c r="N363" s="97">
        <f t="shared" si="22"/>
        <v>47196</v>
      </c>
      <c r="O363" s="97" t="str">
        <f>VLOOKUP(F363,'[1]PZ a UTZ'!$E$2:$H$335,3,FALSE)</f>
        <v>PZ 4326/97-E.49</v>
      </c>
      <c r="P363" s="97">
        <f>VLOOKUP(F363,'[1]PZ a UTZ'!$E$2:$H$335,4,FALSE)</f>
        <v>44004</v>
      </c>
      <c r="Q363" s="97">
        <f t="shared" si="21"/>
        <v>45830</v>
      </c>
      <c r="R363" s="243" t="s">
        <v>1493</v>
      </c>
      <c r="S363" s="259">
        <v>602668264</v>
      </c>
      <c r="T363" s="268" t="s">
        <v>1067</v>
      </c>
    </row>
    <row r="364" spans="2:20" x14ac:dyDescent="0.25">
      <c r="B364" s="10">
        <v>363</v>
      </c>
      <c r="C364" s="117" t="s">
        <v>190</v>
      </c>
      <c r="D364" s="30" t="s">
        <v>915</v>
      </c>
      <c r="E364" s="72" t="s">
        <v>825</v>
      </c>
      <c r="F364" s="84">
        <v>3.4540000000000002</v>
      </c>
      <c r="G364" s="84" t="s">
        <v>916</v>
      </c>
      <c r="H364" s="34">
        <v>2024</v>
      </c>
      <c r="I364" s="35">
        <v>45352</v>
      </c>
      <c r="J364" s="35" t="s">
        <v>42</v>
      </c>
      <c r="K364" s="85">
        <v>2024</v>
      </c>
      <c r="L364" s="35" t="s">
        <v>917</v>
      </c>
      <c r="M364" s="37">
        <v>45373</v>
      </c>
      <c r="N364" s="37">
        <f t="shared" si="22"/>
        <v>47199</v>
      </c>
      <c r="O364" s="37" t="s">
        <v>1626</v>
      </c>
      <c r="P364" s="37">
        <v>45376</v>
      </c>
      <c r="Q364" s="37">
        <f t="shared" si="21"/>
        <v>47202</v>
      </c>
      <c r="R364" s="251" t="s">
        <v>1530</v>
      </c>
      <c r="S364" s="264">
        <v>725582092</v>
      </c>
      <c r="T364" s="286" t="s">
        <v>1267</v>
      </c>
    </row>
    <row r="365" spans="2:20" x14ac:dyDescent="0.25">
      <c r="B365" s="10">
        <v>364</v>
      </c>
      <c r="C365" s="133" t="s">
        <v>1289</v>
      </c>
      <c r="D365" s="198" t="s">
        <v>1388</v>
      </c>
      <c r="E365" s="102" t="s">
        <v>39</v>
      </c>
      <c r="F365" s="103">
        <v>339.33800000000002</v>
      </c>
      <c r="G365" s="104" t="s">
        <v>1389</v>
      </c>
      <c r="H365" s="105">
        <v>1995</v>
      </c>
      <c r="I365" s="135">
        <v>45352</v>
      </c>
      <c r="J365" s="135" t="s">
        <v>42</v>
      </c>
      <c r="K365" s="145">
        <v>2001</v>
      </c>
      <c r="L365" s="135" t="s">
        <v>1390</v>
      </c>
      <c r="M365" s="108">
        <v>45376</v>
      </c>
      <c r="N365" s="108">
        <f t="shared" si="22"/>
        <v>47202</v>
      </c>
      <c r="O365" s="209"/>
      <c r="P365" s="209"/>
      <c r="Q365" s="209"/>
      <c r="R365" s="246" t="s">
        <v>1484</v>
      </c>
      <c r="S365" s="262">
        <v>724450266</v>
      </c>
      <c r="T365" s="301" t="s">
        <v>1673</v>
      </c>
    </row>
    <row r="366" spans="2:20" x14ac:dyDescent="0.25">
      <c r="B366" s="10">
        <v>365</v>
      </c>
      <c r="C366" s="178" t="s">
        <v>14</v>
      </c>
      <c r="D366" s="28" t="s">
        <v>1388</v>
      </c>
      <c r="E366" s="46" t="s">
        <v>39</v>
      </c>
      <c r="F366" s="54">
        <v>339.33800000000002</v>
      </c>
      <c r="G366" s="47" t="s">
        <v>1380</v>
      </c>
      <c r="H366" s="48">
        <v>1995</v>
      </c>
      <c r="I366" s="26">
        <v>45352</v>
      </c>
      <c r="J366" s="26" t="s">
        <v>42</v>
      </c>
      <c r="K366" s="86">
        <v>1994</v>
      </c>
      <c r="L366" s="26" t="s">
        <v>43</v>
      </c>
      <c r="M366" s="27">
        <v>45376</v>
      </c>
      <c r="N366" s="27">
        <f t="shared" si="22"/>
        <v>47202</v>
      </c>
      <c r="O366" s="27" t="str">
        <f>VLOOKUP(D366,'[1]PZ a UTZ'!$C$341:$H$464,5,FALSE)</f>
        <v>PZ 0062/95-E.49</v>
      </c>
      <c r="P366" s="27">
        <f>VLOOKUP(D366,'[1]PZ a UTZ'!$C$341:$H$464,6,FALSE)</f>
        <v>44035</v>
      </c>
      <c r="Q366" s="27">
        <f t="shared" ref="Q366:Q387" si="23">EDATE(P366,60)</f>
        <v>45861</v>
      </c>
      <c r="R366" s="242" t="s">
        <v>1484</v>
      </c>
      <c r="S366" s="258">
        <v>724450266</v>
      </c>
      <c r="T366" s="273" t="s">
        <v>1673</v>
      </c>
    </row>
    <row r="367" spans="2:20" x14ac:dyDescent="0.25">
      <c r="B367" s="10">
        <v>366</v>
      </c>
      <c r="C367" s="68" t="s">
        <v>164</v>
      </c>
      <c r="D367" s="22" t="s">
        <v>1391</v>
      </c>
      <c r="E367" s="200" t="s">
        <v>39</v>
      </c>
      <c r="F367" s="69">
        <v>332.61200000000002</v>
      </c>
      <c r="G367" s="24" t="s">
        <v>1392</v>
      </c>
      <c r="H367" s="25">
        <v>2000</v>
      </c>
      <c r="I367" s="49">
        <v>36678</v>
      </c>
      <c r="J367" s="49" t="s">
        <v>40</v>
      </c>
      <c r="K367" s="56">
        <v>1999</v>
      </c>
      <c r="L367" s="26" t="s">
        <v>43</v>
      </c>
      <c r="M367" s="27">
        <v>45376</v>
      </c>
      <c r="N367" s="27">
        <f t="shared" si="22"/>
        <v>47202</v>
      </c>
      <c r="O367" s="27" t="e">
        <f>VLOOKUP(D367,'[1]PZ a UTZ'!B536:G629,5,FALSE)</f>
        <v>#N/A</v>
      </c>
      <c r="P367" s="27" t="e">
        <f>VLOOKUP(D367,'[1]PZ a UTZ'!B536:G629,6,FALSE)</f>
        <v>#N/A</v>
      </c>
      <c r="Q367" s="27" t="e">
        <f t="shared" si="23"/>
        <v>#N/A</v>
      </c>
      <c r="R367" s="242" t="s">
        <v>1486</v>
      </c>
      <c r="S367" s="258">
        <v>724862431</v>
      </c>
      <c r="T367" s="280" t="s">
        <v>1674</v>
      </c>
    </row>
    <row r="368" spans="2:20" x14ac:dyDescent="0.25">
      <c r="B368" s="10">
        <v>367</v>
      </c>
      <c r="C368" s="21" t="s">
        <v>190</v>
      </c>
      <c r="D368" s="28" t="s">
        <v>213</v>
      </c>
      <c r="E368" s="23" t="s">
        <v>39</v>
      </c>
      <c r="F368" s="24">
        <v>327.56</v>
      </c>
      <c r="G368" s="24" t="s">
        <v>216</v>
      </c>
      <c r="H368" s="25">
        <v>2009</v>
      </c>
      <c r="I368" s="26">
        <v>45352</v>
      </c>
      <c r="J368" s="26" t="s">
        <v>46</v>
      </c>
      <c r="K368" s="86">
        <v>2009</v>
      </c>
      <c r="L368" s="26" t="s">
        <v>217</v>
      </c>
      <c r="M368" s="27">
        <v>45377</v>
      </c>
      <c r="N368" s="27">
        <f t="shared" si="22"/>
        <v>47203</v>
      </c>
      <c r="O368" s="27" t="str">
        <f>VLOOKUP(F368,'[1]PZ a UTZ'!$E$2:$H$335,3,FALSE)</f>
        <v>PZ 0947/09-E.49</v>
      </c>
      <c r="P368" s="27">
        <f>VLOOKUP(F368,'[1]PZ a UTZ'!$E$2:$H$335,4,FALSE)</f>
        <v>43558</v>
      </c>
      <c r="Q368" s="27">
        <f t="shared" si="23"/>
        <v>45385</v>
      </c>
      <c r="R368" s="242" t="s">
        <v>1484</v>
      </c>
      <c r="S368" s="258">
        <v>724450266</v>
      </c>
      <c r="T368" s="269" t="s">
        <v>1011</v>
      </c>
    </row>
    <row r="369" spans="2:20" x14ac:dyDescent="0.25">
      <c r="B369" s="10">
        <v>368</v>
      </c>
      <c r="C369" s="21" t="s">
        <v>190</v>
      </c>
      <c r="D369" s="28" t="s">
        <v>213</v>
      </c>
      <c r="E369" s="23" t="s">
        <v>39</v>
      </c>
      <c r="F369" s="24">
        <v>328.577</v>
      </c>
      <c r="G369" s="24" t="s">
        <v>214</v>
      </c>
      <c r="H369" s="25">
        <v>2009</v>
      </c>
      <c r="I369" s="26">
        <v>45352</v>
      </c>
      <c r="J369" s="26" t="s">
        <v>46</v>
      </c>
      <c r="K369" s="86">
        <v>2009</v>
      </c>
      <c r="L369" s="26" t="s">
        <v>215</v>
      </c>
      <c r="M369" s="27">
        <v>45377</v>
      </c>
      <c r="N369" s="27">
        <f t="shared" si="22"/>
        <v>47203</v>
      </c>
      <c r="O369" s="27" t="str">
        <f>VLOOKUP(F369,'[1]PZ a UTZ'!$E$2:$H$335,3,FALSE)</f>
        <v>PZ 0946/09-E.49</v>
      </c>
      <c r="P369" s="27">
        <f>VLOOKUP(F369,'[1]PZ a UTZ'!$E$2:$H$335,4,FALSE)</f>
        <v>43558</v>
      </c>
      <c r="Q369" s="27">
        <f t="shared" si="23"/>
        <v>45385</v>
      </c>
      <c r="R369" s="242" t="s">
        <v>1484</v>
      </c>
      <c r="S369" s="258">
        <v>724450266</v>
      </c>
      <c r="T369" s="269" t="s">
        <v>1010</v>
      </c>
    </row>
    <row r="370" spans="2:20" x14ac:dyDescent="0.25">
      <c r="B370" s="10">
        <v>369</v>
      </c>
      <c r="C370" s="45" t="s">
        <v>190</v>
      </c>
      <c r="D370" s="22" t="s">
        <v>623</v>
      </c>
      <c r="E370" s="46" t="s">
        <v>94</v>
      </c>
      <c r="F370" s="47">
        <v>37.308</v>
      </c>
      <c r="G370" s="47" t="s">
        <v>629</v>
      </c>
      <c r="H370" s="48">
        <v>2009</v>
      </c>
      <c r="I370" s="26">
        <v>45383</v>
      </c>
      <c r="J370" s="26" t="s">
        <v>46</v>
      </c>
      <c r="K370" s="86" t="s">
        <v>625</v>
      </c>
      <c r="L370" s="26" t="s">
        <v>630</v>
      </c>
      <c r="M370" s="27">
        <v>45385</v>
      </c>
      <c r="N370" s="27">
        <f t="shared" si="22"/>
        <v>47211</v>
      </c>
      <c r="O370" s="27" t="str">
        <f>VLOOKUP(F370,'[1]PZ a UTZ'!$E$2:$H$335,3,FALSE)</f>
        <v>PZ 2565/09-E.49</v>
      </c>
      <c r="P370" s="27">
        <f>VLOOKUP(F370,'[1]PZ a UTZ'!$E$2:$H$335,4,FALSE)</f>
        <v>43629</v>
      </c>
      <c r="Q370" s="27">
        <f t="shared" si="23"/>
        <v>45456</v>
      </c>
      <c r="R370" s="242" t="s">
        <v>1521</v>
      </c>
      <c r="S370" s="258">
        <v>602668275</v>
      </c>
      <c r="T370" s="274" t="s">
        <v>1163</v>
      </c>
    </row>
    <row r="371" spans="2:20" x14ac:dyDescent="0.25">
      <c r="B371" s="10">
        <v>370</v>
      </c>
      <c r="C371" s="45" t="s">
        <v>190</v>
      </c>
      <c r="D371" s="22" t="s">
        <v>623</v>
      </c>
      <c r="E371" s="46" t="s">
        <v>94</v>
      </c>
      <c r="F371" s="47">
        <v>37.848999999999997</v>
      </c>
      <c r="G371" s="47" t="s">
        <v>627</v>
      </c>
      <c r="H371" s="48">
        <v>2009</v>
      </c>
      <c r="I371" s="26">
        <v>45383</v>
      </c>
      <c r="J371" s="26" t="s">
        <v>46</v>
      </c>
      <c r="K371" s="86" t="s">
        <v>625</v>
      </c>
      <c r="L371" s="26" t="s">
        <v>628</v>
      </c>
      <c r="M371" s="27">
        <v>45385</v>
      </c>
      <c r="N371" s="27">
        <f t="shared" si="22"/>
        <v>47211</v>
      </c>
      <c r="O371" s="27" t="str">
        <f>VLOOKUP(F371,'[1]PZ a UTZ'!$E$2:$H$335,3,FALSE)</f>
        <v>PZ 2566/09-E.49</v>
      </c>
      <c r="P371" s="27">
        <f>VLOOKUP(F371,'[1]PZ a UTZ'!$E$2:$H$335,4,FALSE)</f>
        <v>43631</v>
      </c>
      <c r="Q371" s="27">
        <f t="shared" si="23"/>
        <v>45458</v>
      </c>
      <c r="R371" s="242" t="s">
        <v>1521</v>
      </c>
      <c r="S371" s="258">
        <v>602668275</v>
      </c>
      <c r="T371" s="274" t="s">
        <v>1162</v>
      </c>
    </row>
    <row r="372" spans="2:20" x14ac:dyDescent="0.25">
      <c r="B372" s="10">
        <v>371</v>
      </c>
      <c r="C372" s="45" t="s">
        <v>190</v>
      </c>
      <c r="D372" s="22" t="s">
        <v>623</v>
      </c>
      <c r="E372" s="46" t="s">
        <v>94</v>
      </c>
      <c r="F372" s="47">
        <v>39.136000000000003</v>
      </c>
      <c r="G372" s="47" t="s">
        <v>624</v>
      </c>
      <c r="H372" s="48">
        <v>2009</v>
      </c>
      <c r="I372" s="26">
        <v>45383</v>
      </c>
      <c r="J372" s="26" t="s">
        <v>46</v>
      </c>
      <c r="K372" s="86" t="s">
        <v>625</v>
      </c>
      <c r="L372" s="26" t="s">
        <v>626</v>
      </c>
      <c r="M372" s="27">
        <v>45385</v>
      </c>
      <c r="N372" s="27">
        <f t="shared" si="22"/>
        <v>47211</v>
      </c>
      <c r="O372" s="27" t="str">
        <f>VLOOKUP(F372,'[1]PZ a UTZ'!$E$2:$H$335,3,FALSE)</f>
        <v>PZ 2567/09-E.49</v>
      </c>
      <c r="P372" s="27">
        <f>VLOOKUP(F372,'[1]PZ a UTZ'!$E$2:$H$335,4,FALSE)</f>
        <v>43629</v>
      </c>
      <c r="Q372" s="27">
        <f t="shared" si="23"/>
        <v>45456</v>
      </c>
      <c r="R372" s="242" t="s">
        <v>1521</v>
      </c>
      <c r="S372" s="258">
        <v>602668275</v>
      </c>
      <c r="T372" s="274" t="s">
        <v>1161</v>
      </c>
    </row>
    <row r="373" spans="2:20" x14ac:dyDescent="0.25">
      <c r="B373" s="10">
        <v>372</v>
      </c>
      <c r="C373" s="45" t="s">
        <v>190</v>
      </c>
      <c r="D373" s="28" t="s">
        <v>549</v>
      </c>
      <c r="E373" s="46" t="s">
        <v>94</v>
      </c>
      <c r="F373" s="47">
        <v>77.385999999999996</v>
      </c>
      <c r="G373" s="47" t="s">
        <v>550</v>
      </c>
      <c r="H373" s="48">
        <v>1995</v>
      </c>
      <c r="I373" s="26">
        <v>45383</v>
      </c>
      <c r="J373" s="26" t="s">
        <v>42</v>
      </c>
      <c r="K373" s="86">
        <v>1995</v>
      </c>
      <c r="L373" s="26" t="s">
        <v>551</v>
      </c>
      <c r="M373" s="27">
        <v>45397</v>
      </c>
      <c r="N373" s="27">
        <f t="shared" si="22"/>
        <v>47223</v>
      </c>
      <c r="O373" s="27" t="str">
        <f>VLOOKUP(F373,'[1]PZ a UTZ'!$E$2:$H$335,3,FALSE)</f>
        <v>PZ 0381/95-E.49</v>
      </c>
      <c r="P373" s="27">
        <f>VLOOKUP(F373,'[1]PZ a UTZ'!$E$2:$H$335,4,FALSE)</f>
        <v>43612</v>
      </c>
      <c r="Q373" s="27">
        <f t="shared" si="23"/>
        <v>45439</v>
      </c>
      <c r="R373" s="242" t="s">
        <v>1491</v>
      </c>
      <c r="S373" s="258">
        <v>725582090</v>
      </c>
      <c r="T373" s="273" t="s">
        <v>1138</v>
      </c>
    </row>
    <row r="374" spans="2:20" x14ac:dyDescent="0.25">
      <c r="B374" s="10">
        <v>373</v>
      </c>
      <c r="C374" s="45" t="s">
        <v>190</v>
      </c>
      <c r="D374" s="28" t="s">
        <v>546</v>
      </c>
      <c r="E374" s="46" t="s">
        <v>94</v>
      </c>
      <c r="F374" s="47">
        <v>78.224999999999994</v>
      </c>
      <c r="G374" s="47" t="s">
        <v>547</v>
      </c>
      <c r="H374" s="48">
        <v>1995</v>
      </c>
      <c r="I374" s="26">
        <v>45383</v>
      </c>
      <c r="J374" s="26" t="s">
        <v>42</v>
      </c>
      <c r="K374" s="86">
        <v>1995</v>
      </c>
      <c r="L374" s="26" t="s">
        <v>548</v>
      </c>
      <c r="M374" s="27">
        <v>45397</v>
      </c>
      <c r="N374" s="27">
        <f t="shared" si="22"/>
        <v>47223</v>
      </c>
      <c r="O374" s="27" t="str">
        <f>VLOOKUP(F374,'[1]PZ a UTZ'!$E$2:$H$335,3,FALSE)</f>
        <v>PZ 0383/95-E.49</v>
      </c>
      <c r="P374" s="27">
        <f>VLOOKUP(F374,'[1]PZ a UTZ'!$E$2:$H$335,4,FALSE)</f>
        <v>43612</v>
      </c>
      <c r="Q374" s="27">
        <f t="shared" si="23"/>
        <v>45439</v>
      </c>
      <c r="R374" s="242" t="s">
        <v>1491</v>
      </c>
      <c r="S374" s="258">
        <v>725582090</v>
      </c>
      <c r="T374" s="273" t="s">
        <v>1137</v>
      </c>
    </row>
    <row r="375" spans="2:20" x14ac:dyDescent="0.25">
      <c r="B375" s="10">
        <v>374</v>
      </c>
      <c r="C375" s="81" t="s">
        <v>190</v>
      </c>
      <c r="D375" s="22" t="s">
        <v>310</v>
      </c>
      <c r="E375" s="141" t="s">
        <v>311</v>
      </c>
      <c r="F375" s="24">
        <v>10.077</v>
      </c>
      <c r="G375" s="24" t="s">
        <v>312</v>
      </c>
      <c r="H375" s="25">
        <v>2019</v>
      </c>
      <c r="I375" s="26">
        <v>43556</v>
      </c>
      <c r="J375" s="26" t="s">
        <v>124</v>
      </c>
      <c r="K375" s="25">
        <v>2019</v>
      </c>
      <c r="L375" s="26" t="s">
        <v>313</v>
      </c>
      <c r="M375" s="27">
        <v>45405</v>
      </c>
      <c r="N375" s="27">
        <f t="shared" si="22"/>
        <v>47231</v>
      </c>
      <c r="O375" s="27" t="s">
        <v>1627</v>
      </c>
      <c r="P375" s="27">
        <v>43585</v>
      </c>
      <c r="Q375" s="27">
        <f t="shared" si="23"/>
        <v>45412</v>
      </c>
      <c r="R375" s="242" t="s">
        <v>1507</v>
      </c>
      <c r="S375" s="258">
        <v>605523102</v>
      </c>
      <c r="T375" s="268" t="s">
        <v>1045</v>
      </c>
    </row>
    <row r="376" spans="2:20" x14ac:dyDescent="0.25">
      <c r="B376" s="10">
        <v>375</v>
      </c>
      <c r="C376" s="21" t="s">
        <v>190</v>
      </c>
      <c r="D376" s="22" t="s">
        <v>375</v>
      </c>
      <c r="E376" s="46" t="s">
        <v>25</v>
      </c>
      <c r="F376" s="24">
        <v>17.512</v>
      </c>
      <c r="G376" s="24" t="s">
        <v>376</v>
      </c>
      <c r="H376" s="172">
        <v>1997</v>
      </c>
      <c r="I376" s="26">
        <v>43586</v>
      </c>
      <c r="J376" s="49" t="s">
        <v>17</v>
      </c>
      <c r="K376" s="48">
        <v>2006</v>
      </c>
      <c r="L376" s="26" t="s">
        <v>1393</v>
      </c>
      <c r="M376" s="27">
        <v>45406</v>
      </c>
      <c r="N376" s="27">
        <f t="shared" si="22"/>
        <v>47232</v>
      </c>
      <c r="O376" s="27" t="str">
        <f>VLOOKUP(F376,'[1]PZ a UTZ'!$E$2:$H$335,3,FALSE)</f>
        <v>PZ 4332/97-E.49</v>
      </c>
      <c r="P376" s="27">
        <f>VLOOKUP(F376,'[1]PZ a UTZ'!$E$2:$H$335,4,FALSE)</f>
        <v>44005</v>
      </c>
      <c r="Q376" s="27">
        <f t="shared" si="23"/>
        <v>45831</v>
      </c>
      <c r="R376" s="242" t="s">
        <v>1494</v>
      </c>
      <c r="S376" s="258">
        <v>602117762</v>
      </c>
      <c r="T376" s="268" t="s">
        <v>1071</v>
      </c>
    </row>
    <row r="377" spans="2:20" x14ac:dyDescent="0.25">
      <c r="B377" s="10">
        <v>376</v>
      </c>
      <c r="C377" s="178" t="s">
        <v>14</v>
      </c>
      <c r="D377" s="22" t="s">
        <v>28</v>
      </c>
      <c r="E377" s="123" t="s">
        <v>25</v>
      </c>
      <c r="F377" s="124">
        <v>17.568999999999999</v>
      </c>
      <c r="G377" s="125"/>
      <c r="H377" s="126">
        <v>2006</v>
      </c>
      <c r="I377" s="26">
        <v>43586</v>
      </c>
      <c r="J377" s="26" t="s">
        <v>17</v>
      </c>
      <c r="K377" s="126">
        <v>2006</v>
      </c>
      <c r="L377" s="26" t="s">
        <v>29</v>
      </c>
      <c r="M377" s="27">
        <v>45406</v>
      </c>
      <c r="N377" s="27">
        <f t="shared" si="22"/>
        <v>47232</v>
      </c>
      <c r="O377" s="27" t="str">
        <f>VLOOKUP(D377,'[1]PZ a UTZ'!$C$341:$H$464,5,FALSE)</f>
        <v>PZ 0594/06-E.49</v>
      </c>
      <c r="P377" s="27">
        <f>VLOOKUP(D377,'[1]PZ a UTZ'!$C$341:$H$464,6,FALSE)</f>
        <v>44415</v>
      </c>
      <c r="Q377" s="27">
        <f t="shared" si="23"/>
        <v>46241</v>
      </c>
      <c r="R377" s="242" t="s">
        <v>1494</v>
      </c>
      <c r="S377" s="258">
        <v>602117762</v>
      </c>
      <c r="T377" s="291" t="s">
        <v>929</v>
      </c>
    </row>
    <row r="378" spans="2:20" x14ac:dyDescent="0.25">
      <c r="B378" s="10">
        <v>377</v>
      </c>
      <c r="C378" s="45" t="s">
        <v>190</v>
      </c>
      <c r="D378" s="22" t="s">
        <v>567</v>
      </c>
      <c r="E378" s="46" t="s">
        <v>94</v>
      </c>
      <c r="F378" s="47">
        <v>68.296999999999997</v>
      </c>
      <c r="G378" s="47" t="s">
        <v>568</v>
      </c>
      <c r="H378" s="48">
        <v>1995</v>
      </c>
      <c r="I378" s="26">
        <v>43586</v>
      </c>
      <c r="J378" s="26" t="s">
        <v>42</v>
      </c>
      <c r="K378" s="86">
        <v>1995</v>
      </c>
      <c r="L378" s="26" t="s">
        <v>569</v>
      </c>
      <c r="M378" s="27">
        <v>45407</v>
      </c>
      <c r="N378" s="27">
        <f t="shared" si="22"/>
        <v>47233</v>
      </c>
      <c r="O378" s="27" t="str">
        <f>VLOOKUP(F378,'[1]PZ a UTZ'!$E$2:$H$335,3,FALSE)</f>
        <v>PZ 1316/95-E.49</v>
      </c>
      <c r="P378" s="27">
        <f>VLOOKUP(F378,'[1]PZ a UTZ'!$E$2:$H$335,4,FALSE)</f>
        <v>43613</v>
      </c>
      <c r="Q378" s="27">
        <f t="shared" si="23"/>
        <v>45440</v>
      </c>
      <c r="R378" s="242" t="s">
        <v>1510</v>
      </c>
      <c r="S378" s="258">
        <v>602282288</v>
      </c>
      <c r="T378" s="274" t="s">
        <v>1144</v>
      </c>
    </row>
    <row r="379" spans="2:20" x14ac:dyDescent="0.25">
      <c r="B379" s="10">
        <v>378</v>
      </c>
      <c r="C379" s="45" t="s">
        <v>190</v>
      </c>
      <c r="D379" s="22" t="s">
        <v>564</v>
      </c>
      <c r="E379" s="46" t="s">
        <v>94</v>
      </c>
      <c r="F379" s="47">
        <v>69.305000000000007</v>
      </c>
      <c r="G379" s="47" t="s">
        <v>565</v>
      </c>
      <c r="H379" s="48">
        <v>1995</v>
      </c>
      <c r="I379" s="26">
        <v>43586</v>
      </c>
      <c r="J379" s="26" t="s">
        <v>42</v>
      </c>
      <c r="K379" s="86">
        <v>1995</v>
      </c>
      <c r="L379" s="26" t="s">
        <v>566</v>
      </c>
      <c r="M379" s="27">
        <v>45407</v>
      </c>
      <c r="N379" s="27">
        <f t="shared" si="22"/>
        <v>47233</v>
      </c>
      <c r="O379" s="27" t="str">
        <f>VLOOKUP(F379,'[1]PZ a UTZ'!$E$2:$H$335,3,FALSE)</f>
        <v>PZ 1315/95-E.49</v>
      </c>
      <c r="P379" s="27">
        <f>VLOOKUP(F379,'[1]PZ a UTZ'!$E$2:$H$335,4,FALSE)</f>
        <v>43613</v>
      </c>
      <c r="Q379" s="27">
        <f t="shared" si="23"/>
        <v>45440</v>
      </c>
      <c r="R379" s="242" t="s">
        <v>1601</v>
      </c>
      <c r="S379" s="258">
        <v>724214556</v>
      </c>
      <c r="T379" s="274" t="s">
        <v>1143</v>
      </c>
    </row>
    <row r="380" spans="2:20" x14ac:dyDescent="0.25">
      <c r="B380" s="10">
        <v>379</v>
      </c>
      <c r="C380" s="45" t="s">
        <v>190</v>
      </c>
      <c r="D380" s="22" t="s">
        <v>543</v>
      </c>
      <c r="E380" s="46" t="s">
        <v>94</v>
      </c>
      <c r="F380" s="47">
        <v>78.769000000000005</v>
      </c>
      <c r="G380" s="47" t="s">
        <v>544</v>
      </c>
      <c r="H380" s="95">
        <v>1995</v>
      </c>
      <c r="I380" s="26">
        <v>43586</v>
      </c>
      <c r="J380" s="26" t="s">
        <v>40</v>
      </c>
      <c r="K380" s="48">
        <v>2008</v>
      </c>
      <c r="L380" s="26" t="s">
        <v>545</v>
      </c>
      <c r="M380" s="27">
        <v>45407</v>
      </c>
      <c r="N380" s="27">
        <f t="shared" si="22"/>
        <v>47233</v>
      </c>
      <c r="O380" s="27" t="str">
        <f>VLOOKUP(F380,'[1]PZ a UTZ'!$E$2:$H$335,3,FALSE)</f>
        <v>PZ 0382/95-E.49</v>
      </c>
      <c r="P380" s="27">
        <f>VLOOKUP(F380,'[1]PZ a UTZ'!$E$2:$H$335,4,FALSE)</f>
        <v>43612</v>
      </c>
      <c r="Q380" s="27">
        <f t="shared" si="23"/>
        <v>45439</v>
      </c>
      <c r="R380" s="242" t="s">
        <v>1494</v>
      </c>
      <c r="S380" s="258">
        <v>602117762</v>
      </c>
      <c r="T380" s="274" t="s">
        <v>1136</v>
      </c>
    </row>
    <row r="381" spans="2:20" x14ac:dyDescent="0.25">
      <c r="B381" s="10">
        <v>380</v>
      </c>
      <c r="C381" s="45" t="s">
        <v>190</v>
      </c>
      <c r="D381" s="22" t="s">
        <v>570</v>
      </c>
      <c r="E381" s="46" t="s">
        <v>94</v>
      </c>
      <c r="F381" s="47">
        <v>66.361999999999995</v>
      </c>
      <c r="G381" s="47" t="s">
        <v>571</v>
      </c>
      <c r="H381" s="48">
        <v>1995</v>
      </c>
      <c r="I381" s="26">
        <v>43586</v>
      </c>
      <c r="J381" s="26" t="s">
        <v>42</v>
      </c>
      <c r="K381" s="86">
        <v>1995</v>
      </c>
      <c r="L381" s="26" t="s">
        <v>572</v>
      </c>
      <c r="M381" s="27">
        <v>45408</v>
      </c>
      <c r="N381" s="27">
        <f t="shared" si="22"/>
        <v>47234</v>
      </c>
      <c r="O381" s="27" t="str">
        <f>VLOOKUP(F381,'[1]PZ a UTZ'!$E$2:$H$335,3,FALSE)</f>
        <v>PZ 1312/95-E.49</v>
      </c>
      <c r="P381" s="27">
        <f>VLOOKUP(F381,'[1]PZ a UTZ'!$E$2:$H$335,4,FALSE)</f>
        <v>43613</v>
      </c>
      <c r="Q381" s="27">
        <f t="shared" si="23"/>
        <v>45440</v>
      </c>
      <c r="R381" s="242" t="s">
        <v>1510</v>
      </c>
      <c r="S381" s="258">
        <v>602282288</v>
      </c>
      <c r="T381" s="274" t="s">
        <v>1145</v>
      </c>
    </row>
    <row r="382" spans="2:20" x14ac:dyDescent="0.25">
      <c r="B382" s="10">
        <v>381</v>
      </c>
      <c r="C382" s="81" t="s">
        <v>357</v>
      </c>
      <c r="D382" s="28" t="s">
        <v>573</v>
      </c>
      <c r="E382" s="46" t="s">
        <v>94</v>
      </c>
      <c r="F382" s="47">
        <v>66.067999999999998</v>
      </c>
      <c r="G382" s="47" t="s">
        <v>574</v>
      </c>
      <c r="H382" s="48">
        <v>1995</v>
      </c>
      <c r="I382" s="26">
        <v>43586</v>
      </c>
      <c r="J382" s="26" t="s">
        <v>42</v>
      </c>
      <c r="K382" s="86">
        <v>1995</v>
      </c>
      <c r="L382" s="26" t="s">
        <v>575</v>
      </c>
      <c r="M382" s="27">
        <v>45408</v>
      </c>
      <c r="N382" s="27">
        <f t="shared" si="22"/>
        <v>47234</v>
      </c>
      <c r="O382" s="27" t="str">
        <f>VLOOKUP(F382,'[1]PZ a UTZ'!$E$2:$H$335,3,FALSE)</f>
        <v>PZ 1311/95-E.49</v>
      </c>
      <c r="P382" s="27">
        <f>VLOOKUP(F382,'[1]PZ a UTZ'!$E$2:$H$335,4,FALSE)</f>
        <v>43613</v>
      </c>
      <c r="Q382" s="27">
        <f t="shared" si="23"/>
        <v>45440</v>
      </c>
      <c r="R382" s="242" t="s">
        <v>1601</v>
      </c>
      <c r="S382" s="258">
        <v>724214556</v>
      </c>
      <c r="T382" s="273" t="s">
        <v>1146</v>
      </c>
    </row>
    <row r="383" spans="2:20" x14ac:dyDescent="0.25">
      <c r="B383" s="10">
        <v>382</v>
      </c>
      <c r="C383" s="21" t="s">
        <v>190</v>
      </c>
      <c r="D383" s="22" t="s">
        <v>193</v>
      </c>
      <c r="E383" s="23" t="s">
        <v>39</v>
      </c>
      <c r="F383" s="24">
        <v>338.774</v>
      </c>
      <c r="G383" s="24" t="s">
        <v>196</v>
      </c>
      <c r="H383" s="202">
        <v>1995</v>
      </c>
      <c r="I383" s="26">
        <v>43586</v>
      </c>
      <c r="J383" s="26" t="s">
        <v>42</v>
      </c>
      <c r="K383" s="86">
        <v>1994</v>
      </c>
      <c r="L383" s="26" t="s">
        <v>197</v>
      </c>
      <c r="M383" s="27">
        <v>45411</v>
      </c>
      <c r="N383" s="27">
        <f t="shared" si="22"/>
        <v>47237</v>
      </c>
      <c r="O383" s="27" t="str">
        <f>VLOOKUP(F383,'[1]PZ a UTZ'!$E$2:$H$335,3,FALSE)</f>
        <v>PZ 0506/00-E.49</v>
      </c>
      <c r="P383" s="27">
        <f>VLOOKUP(F383,'[1]PZ a UTZ'!$E$2:$H$335,4,FALSE)</f>
        <v>43605</v>
      </c>
      <c r="Q383" s="27">
        <f t="shared" si="23"/>
        <v>45432</v>
      </c>
      <c r="R383" s="242" t="s">
        <v>1484</v>
      </c>
      <c r="S383" s="258">
        <v>724450266</v>
      </c>
      <c r="T383" s="268" t="s">
        <v>1675</v>
      </c>
    </row>
    <row r="384" spans="2:20" x14ac:dyDescent="0.25">
      <c r="B384" s="10">
        <v>383</v>
      </c>
      <c r="C384" s="21" t="s">
        <v>190</v>
      </c>
      <c r="D384" s="22" t="s">
        <v>193</v>
      </c>
      <c r="E384" s="23" t="s">
        <v>39</v>
      </c>
      <c r="F384" s="24">
        <v>339.65800000000002</v>
      </c>
      <c r="G384" s="24" t="s">
        <v>194</v>
      </c>
      <c r="H384" s="202">
        <v>1995</v>
      </c>
      <c r="I384" s="26">
        <v>43586</v>
      </c>
      <c r="J384" s="26" t="s">
        <v>42</v>
      </c>
      <c r="K384" s="86">
        <v>1994</v>
      </c>
      <c r="L384" s="26" t="s">
        <v>195</v>
      </c>
      <c r="M384" s="27">
        <v>45411</v>
      </c>
      <c r="N384" s="27">
        <f t="shared" si="22"/>
        <v>47237</v>
      </c>
      <c r="O384" s="27" t="str">
        <f>VLOOKUP(F384,'[1]PZ a UTZ'!$E$2:$H$335,3,FALSE)</f>
        <v>PZ 0507/00-E.49</v>
      </c>
      <c r="P384" s="27">
        <f>VLOOKUP(F384,'[1]PZ a UTZ'!$E$2:$H$335,4,FALSE)</f>
        <v>43605</v>
      </c>
      <c r="Q384" s="27">
        <f t="shared" si="23"/>
        <v>45432</v>
      </c>
      <c r="R384" s="242" t="s">
        <v>1484</v>
      </c>
      <c r="S384" s="258">
        <v>724450266</v>
      </c>
      <c r="T384" s="268" t="s">
        <v>1676</v>
      </c>
    </row>
    <row r="385" spans="2:20" x14ac:dyDescent="0.25">
      <c r="B385" s="10">
        <v>384</v>
      </c>
      <c r="C385" s="81" t="s">
        <v>190</v>
      </c>
      <c r="D385" s="22" t="s">
        <v>847</v>
      </c>
      <c r="E385" s="46" t="s">
        <v>133</v>
      </c>
      <c r="F385" s="24">
        <v>408.86399999999998</v>
      </c>
      <c r="G385" s="24" t="s">
        <v>848</v>
      </c>
      <c r="H385" s="25">
        <v>2009</v>
      </c>
      <c r="I385" s="26">
        <v>43647</v>
      </c>
      <c r="J385" s="49" t="s">
        <v>17</v>
      </c>
      <c r="K385" s="48">
        <v>2009</v>
      </c>
      <c r="L385" s="26" t="s">
        <v>849</v>
      </c>
      <c r="M385" s="27">
        <v>45482</v>
      </c>
      <c r="N385" s="27">
        <f t="shared" si="22"/>
        <v>47308</v>
      </c>
      <c r="O385" s="27" t="str">
        <f>VLOOKUP(F385,'[1]PZ a UTZ'!$E$2:$H$335,3,FALSE)</f>
        <v>PZ 1715/09-E.49</v>
      </c>
      <c r="P385" s="27">
        <f>VLOOKUP(F385,'[1]PZ a UTZ'!$E$2:$H$335,4,FALSE)</f>
        <v>43623</v>
      </c>
      <c r="Q385" s="27">
        <f t="shared" si="23"/>
        <v>45450</v>
      </c>
      <c r="R385" s="242" t="s">
        <v>1628</v>
      </c>
      <c r="S385" s="258">
        <v>725741946</v>
      </c>
      <c r="T385" s="268" t="s">
        <v>1253</v>
      </c>
    </row>
    <row r="386" spans="2:20" x14ac:dyDescent="0.25">
      <c r="B386" s="10">
        <v>385</v>
      </c>
      <c r="C386" s="53" t="s">
        <v>14</v>
      </c>
      <c r="D386" s="22" t="s">
        <v>1394</v>
      </c>
      <c r="E386" s="46" t="s">
        <v>133</v>
      </c>
      <c r="F386" s="54">
        <v>408.60399999999998</v>
      </c>
      <c r="G386" s="47"/>
      <c r="H386" s="48">
        <v>2009</v>
      </c>
      <c r="I386" s="26">
        <v>43647</v>
      </c>
      <c r="J386" s="49" t="s">
        <v>17</v>
      </c>
      <c r="K386" s="48">
        <v>2009</v>
      </c>
      <c r="L386" s="26" t="s">
        <v>151</v>
      </c>
      <c r="M386" s="27">
        <v>45482</v>
      </c>
      <c r="N386" s="27">
        <f t="shared" si="22"/>
        <v>47308</v>
      </c>
      <c r="O386" s="27" t="str">
        <f>VLOOKUP(D386,'[1]PZ a UTZ'!$C$341:$H$464,5,FALSE)</f>
        <v>PZ 1717/09-E.49</v>
      </c>
      <c r="P386" s="27">
        <f>VLOOKUP(D386,'[1]PZ a UTZ'!$C$341:$H$464,6,FALSE)</f>
        <v>43623</v>
      </c>
      <c r="Q386" s="27">
        <f t="shared" si="23"/>
        <v>45450</v>
      </c>
      <c r="R386" s="242" t="s">
        <v>1628</v>
      </c>
      <c r="S386" s="258">
        <v>725741946</v>
      </c>
      <c r="T386" s="274" t="s">
        <v>977</v>
      </c>
    </row>
    <row r="387" spans="2:20" x14ac:dyDescent="0.25">
      <c r="B387" s="10">
        <v>386</v>
      </c>
      <c r="C387" s="68" t="s">
        <v>164</v>
      </c>
      <c r="D387" s="22" t="s">
        <v>1395</v>
      </c>
      <c r="E387" s="46" t="s">
        <v>133</v>
      </c>
      <c r="F387" s="69">
        <v>408.60399999999998</v>
      </c>
      <c r="G387" s="24"/>
      <c r="H387" s="25">
        <v>2009</v>
      </c>
      <c r="I387" s="26">
        <v>43647</v>
      </c>
      <c r="J387" s="49" t="s">
        <v>17</v>
      </c>
      <c r="K387" s="48">
        <v>2009</v>
      </c>
      <c r="L387" s="26" t="s">
        <v>188</v>
      </c>
      <c r="M387" s="27">
        <v>45482</v>
      </c>
      <c r="N387" s="27">
        <f t="shared" si="22"/>
        <v>47308</v>
      </c>
      <c r="O387" s="27" t="e">
        <f>VLOOKUP(D387,'[1]PZ a UTZ'!B493:G586,5,FALSE)</f>
        <v>#N/A</v>
      </c>
      <c r="P387" s="27" t="e">
        <f>VLOOKUP(D387,'[1]PZ a UTZ'!B493:G586,6,FALSE)</f>
        <v>#N/A</v>
      </c>
      <c r="Q387" s="27" t="e">
        <f t="shared" si="23"/>
        <v>#N/A</v>
      </c>
      <c r="R387" s="242" t="s">
        <v>1628</v>
      </c>
      <c r="S387" s="258">
        <v>725741946</v>
      </c>
      <c r="T387" s="280" t="s">
        <v>1000</v>
      </c>
    </row>
    <row r="388" spans="2:20" x14ac:dyDescent="0.25">
      <c r="B388" s="10">
        <v>387</v>
      </c>
      <c r="C388" s="57" t="s">
        <v>885</v>
      </c>
      <c r="D388" s="58" t="s">
        <v>150</v>
      </c>
      <c r="E388" s="59" t="s">
        <v>133</v>
      </c>
      <c r="F388" s="60">
        <v>408.60399999999998</v>
      </c>
      <c r="G388" s="61" t="s">
        <v>1276</v>
      </c>
      <c r="H388" s="62">
        <v>2009</v>
      </c>
      <c r="I388" s="66">
        <v>43647</v>
      </c>
      <c r="J388" s="64" t="s">
        <v>17</v>
      </c>
      <c r="K388" s="62">
        <v>2009</v>
      </c>
      <c r="L388" s="66" t="s">
        <v>895</v>
      </c>
      <c r="M388" s="67">
        <v>45482</v>
      </c>
      <c r="N388" s="67">
        <f t="shared" si="22"/>
        <v>47308</v>
      </c>
      <c r="O388" s="209"/>
      <c r="P388" s="209"/>
      <c r="Q388" s="209"/>
      <c r="R388" s="245" t="s">
        <v>1628</v>
      </c>
      <c r="S388" s="261">
        <v>725741946</v>
      </c>
      <c r="T388" s="275" t="s">
        <v>977</v>
      </c>
    </row>
    <row r="389" spans="2:20" x14ac:dyDescent="0.25">
      <c r="B389" s="10">
        <v>388</v>
      </c>
      <c r="C389" s="155" t="s">
        <v>14</v>
      </c>
      <c r="D389" s="22" t="s">
        <v>782</v>
      </c>
      <c r="E389" s="46" t="s">
        <v>772</v>
      </c>
      <c r="F389" s="54">
        <v>21.353000000000002</v>
      </c>
      <c r="G389" s="47"/>
      <c r="H389" s="48">
        <v>1982</v>
      </c>
      <c r="I389" s="26">
        <v>43647</v>
      </c>
      <c r="J389" s="175" t="s">
        <v>16</v>
      </c>
      <c r="K389" s="144">
        <v>1982</v>
      </c>
      <c r="L389" s="26" t="s">
        <v>882</v>
      </c>
      <c r="M389" s="27">
        <v>45483</v>
      </c>
      <c r="N389" s="27">
        <f t="shared" si="22"/>
        <v>47309</v>
      </c>
      <c r="O389" s="27" t="str">
        <f>VLOOKUP(D389,'[1]PZ a UTZ'!$C$341:$H$464,5,FALSE)</f>
        <v>PZ 12089/96-E.49</v>
      </c>
      <c r="P389" s="27">
        <f>VLOOKUP(D389,'[1]PZ a UTZ'!$C$341:$H$464,6,FALSE)</f>
        <v>44428</v>
      </c>
      <c r="Q389" s="27">
        <f>EDATE(P389,60)</f>
        <v>46254</v>
      </c>
      <c r="R389" s="242" t="s">
        <v>1492</v>
      </c>
      <c r="S389" s="258">
        <v>724214647</v>
      </c>
      <c r="T389" s="274" t="s">
        <v>1265</v>
      </c>
    </row>
    <row r="390" spans="2:20" x14ac:dyDescent="0.25">
      <c r="B390" s="10">
        <v>389</v>
      </c>
      <c r="C390" s="156" t="s">
        <v>1289</v>
      </c>
      <c r="D390" s="101" t="s">
        <v>782</v>
      </c>
      <c r="E390" s="102" t="s">
        <v>772</v>
      </c>
      <c r="F390" s="103">
        <v>21.353000000000002</v>
      </c>
      <c r="G390" s="104" t="s">
        <v>1396</v>
      </c>
      <c r="H390" s="105">
        <v>1982</v>
      </c>
      <c r="I390" s="135">
        <v>43647</v>
      </c>
      <c r="J390" s="135" t="s">
        <v>42</v>
      </c>
      <c r="K390" s="145" t="s">
        <v>1397</v>
      </c>
      <c r="L390" s="135" t="s">
        <v>1398</v>
      </c>
      <c r="M390" s="108">
        <v>45483</v>
      </c>
      <c r="N390" s="108">
        <f t="shared" si="22"/>
        <v>47309</v>
      </c>
      <c r="O390" s="209"/>
      <c r="P390" s="209"/>
      <c r="Q390" s="209"/>
      <c r="R390" s="246" t="s">
        <v>1492</v>
      </c>
      <c r="S390" s="262">
        <v>724214647</v>
      </c>
      <c r="T390" s="283" t="s">
        <v>1265</v>
      </c>
    </row>
    <row r="391" spans="2:20" x14ac:dyDescent="0.25">
      <c r="B391" s="10">
        <v>390</v>
      </c>
      <c r="C391" s="53" t="s">
        <v>14</v>
      </c>
      <c r="D391" s="22" t="s">
        <v>1399</v>
      </c>
      <c r="E391" s="46" t="s">
        <v>133</v>
      </c>
      <c r="F391" s="54">
        <v>412.55700000000002</v>
      </c>
      <c r="G391" s="47"/>
      <c r="H391" s="48">
        <v>2009</v>
      </c>
      <c r="I391" s="26">
        <v>43647</v>
      </c>
      <c r="J391" s="49" t="s">
        <v>17</v>
      </c>
      <c r="K391" s="48">
        <v>2009</v>
      </c>
      <c r="L391" s="26" t="s">
        <v>153</v>
      </c>
      <c r="M391" s="27">
        <v>45489</v>
      </c>
      <c r="N391" s="27">
        <f t="shared" si="22"/>
        <v>47315</v>
      </c>
      <c r="O391" s="27" t="str">
        <f>VLOOKUP(D391,'[1]PZ a UTZ'!$C$341:$H$464,5,FALSE)</f>
        <v>PZ 1711/09-E.49</v>
      </c>
      <c r="P391" s="27">
        <f>VLOOKUP(D391,'[1]PZ a UTZ'!$C$341:$H$464,6,FALSE)</f>
        <v>43634</v>
      </c>
      <c r="Q391" s="27">
        <f>EDATE(P391,60)</f>
        <v>45461</v>
      </c>
      <c r="R391" s="242" t="s">
        <v>1490</v>
      </c>
      <c r="S391" s="258">
        <v>721654457</v>
      </c>
      <c r="T391" s="274" t="s">
        <v>978</v>
      </c>
    </row>
    <row r="392" spans="2:20" x14ac:dyDescent="0.25">
      <c r="B392" s="10">
        <v>391</v>
      </c>
      <c r="C392" s="57" t="s">
        <v>885</v>
      </c>
      <c r="D392" s="58" t="s">
        <v>152</v>
      </c>
      <c r="E392" s="59" t="s">
        <v>133</v>
      </c>
      <c r="F392" s="60">
        <v>412.55700000000002</v>
      </c>
      <c r="G392" s="61" t="s">
        <v>1276</v>
      </c>
      <c r="H392" s="62">
        <v>2009</v>
      </c>
      <c r="I392" s="66">
        <v>43647</v>
      </c>
      <c r="J392" s="64" t="s">
        <v>17</v>
      </c>
      <c r="K392" s="62">
        <v>2009</v>
      </c>
      <c r="L392" s="66" t="s">
        <v>896</v>
      </c>
      <c r="M392" s="67">
        <v>45489</v>
      </c>
      <c r="N392" s="67">
        <f t="shared" si="22"/>
        <v>47315</v>
      </c>
      <c r="O392" s="209"/>
      <c r="P392" s="209"/>
      <c r="Q392" s="209"/>
      <c r="R392" s="245" t="s">
        <v>1490</v>
      </c>
      <c r="S392" s="261">
        <v>721654457</v>
      </c>
      <c r="T392" s="275" t="s">
        <v>978</v>
      </c>
    </row>
    <row r="393" spans="2:20" x14ac:dyDescent="0.25">
      <c r="B393" s="10">
        <v>392</v>
      </c>
      <c r="C393" s="53" t="s">
        <v>14</v>
      </c>
      <c r="D393" s="22" t="s">
        <v>1400</v>
      </c>
      <c r="E393" s="46" t="s">
        <v>94</v>
      </c>
      <c r="F393" s="54">
        <v>49.179000000000002</v>
      </c>
      <c r="G393" s="47" t="s">
        <v>1401</v>
      </c>
      <c r="H393" s="48">
        <v>2009</v>
      </c>
      <c r="I393" s="26">
        <v>43647</v>
      </c>
      <c r="J393" s="49" t="s">
        <v>95</v>
      </c>
      <c r="K393" s="48">
        <v>2009</v>
      </c>
      <c r="L393" s="26" t="s">
        <v>101</v>
      </c>
      <c r="M393" s="27">
        <v>45491</v>
      </c>
      <c r="N393" s="27">
        <f t="shared" si="22"/>
        <v>47317</v>
      </c>
      <c r="O393" s="27" t="str">
        <f>VLOOKUP(D393,'[1]PZ a UTZ'!$C$341:$H$464,5,FALSE)</f>
        <v>PZ 1780/09-E.49</v>
      </c>
      <c r="P393" s="27">
        <f>VLOOKUP(D393,'[1]PZ a UTZ'!$C$341:$H$464,6,FALSE)</f>
        <v>43710</v>
      </c>
      <c r="Q393" s="27">
        <f>EDATE(P393,60)</f>
        <v>45537</v>
      </c>
      <c r="R393" s="242" t="s">
        <v>1509</v>
      </c>
      <c r="S393" s="258">
        <v>725363405</v>
      </c>
      <c r="T393" s="274" t="s">
        <v>955</v>
      </c>
    </row>
    <row r="394" spans="2:20" x14ac:dyDescent="0.25">
      <c r="B394" s="10">
        <v>393</v>
      </c>
      <c r="C394" s="57" t="s">
        <v>885</v>
      </c>
      <c r="D394" s="58" t="s">
        <v>100</v>
      </c>
      <c r="E394" s="59" t="s">
        <v>94</v>
      </c>
      <c r="F394" s="60">
        <v>49.179000000000002</v>
      </c>
      <c r="G394" s="61" t="s">
        <v>1276</v>
      </c>
      <c r="H394" s="62">
        <v>2009</v>
      </c>
      <c r="I394" s="64">
        <v>43739</v>
      </c>
      <c r="J394" s="64" t="s">
        <v>95</v>
      </c>
      <c r="K394" s="62">
        <v>2009</v>
      </c>
      <c r="L394" s="64"/>
      <c r="M394" s="67">
        <v>45491</v>
      </c>
      <c r="N394" s="67">
        <f t="shared" si="22"/>
        <v>47317</v>
      </c>
      <c r="O394" s="209"/>
      <c r="P394" s="209"/>
      <c r="Q394" s="209"/>
      <c r="R394" s="245" t="s">
        <v>1509</v>
      </c>
      <c r="S394" s="261">
        <v>725363405</v>
      </c>
      <c r="T394" s="275" t="s">
        <v>955</v>
      </c>
    </row>
    <row r="395" spans="2:20" x14ac:dyDescent="0.25">
      <c r="B395" s="10">
        <v>394</v>
      </c>
      <c r="C395" s="119" t="s">
        <v>14</v>
      </c>
      <c r="D395" s="30" t="s">
        <v>127</v>
      </c>
      <c r="E395" s="72" t="s">
        <v>112</v>
      </c>
      <c r="F395" s="182">
        <v>30.015000000000001</v>
      </c>
      <c r="G395" s="73"/>
      <c r="H395" s="89">
        <v>2019</v>
      </c>
      <c r="I395" s="44">
        <v>43617</v>
      </c>
      <c r="J395" s="149" t="s">
        <v>128</v>
      </c>
      <c r="K395" s="150">
        <v>2019</v>
      </c>
      <c r="L395" s="203" t="s">
        <v>129</v>
      </c>
      <c r="M395" s="204">
        <v>45505</v>
      </c>
      <c r="N395" s="204">
        <f t="shared" si="22"/>
        <v>47331</v>
      </c>
      <c r="O395" s="37" t="str">
        <f>VLOOKUP(D395,'[1]PZ a UTZ'!$C$341:$H$464,5,FALSE)</f>
        <v>PZ 0955/19-E.49</v>
      </c>
      <c r="P395" s="37">
        <f>VLOOKUP(D395,'[1]PZ a UTZ'!$C$341:$H$464,6,FALSE)</f>
        <v>43641</v>
      </c>
      <c r="Q395" s="37">
        <f>EDATE(P395,60)</f>
        <v>45468</v>
      </c>
      <c r="R395" s="243" t="s">
        <v>1487</v>
      </c>
      <c r="S395" s="259">
        <v>725339123</v>
      </c>
      <c r="T395" s="278" t="s">
        <v>965</v>
      </c>
    </row>
    <row r="396" spans="2:20" x14ac:dyDescent="0.25">
      <c r="B396" s="10">
        <v>395</v>
      </c>
      <c r="C396" s="45" t="s">
        <v>190</v>
      </c>
      <c r="D396" s="22" t="s">
        <v>561</v>
      </c>
      <c r="E396" s="46" t="s">
        <v>94</v>
      </c>
      <c r="F396" s="47">
        <v>71.599999999999994</v>
      </c>
      <c r="G396" s="47" t="s">
        <v>562</v>
      </c>
      <c r="H396" s="95">
        <v>1996</v>
      </c>
      <c r="I396" s="26">
        <v>43647</v>
      </c>
      <c r="J396" s="26" t="s">
        <v>40</v>
      </c>
      <c r="K396" s="48">
        <v>2004</v>
      </c>
      <c r="L396" s="26" t="s">
        <v>563</v>
      </c>
      <c r="M396" s="27">
        <v>45506</v>
      </c>
      <c r="N396" s="27">
        <f t="shared" si="22"/>
        <v>47332</v>
      </c>
      <c r="O396" s="27" t="str">
        <f>VLOOKUP(F396,'[1]PZ a UTZ'!$E$2:$H$335,3,FALSE)</f>
        <v>PZ 2540/96-E.49</v>
      </c>
      <c r="P396" s="27">
        <f>VLOOKUP(F396,'[1]PZ a UTZ'!$E$2:$H$335,4,FALSE)</f>
        <v>43669</v>
      </c>
      <c r="Q396" s="27">
        <f>EDATE(P396,60)</f>
        <v>45496</v>
      </c>
      <c r="R396" s="242" t="s">
        <v>1491</v>
      </c>
      <c r="S396" s="258">
        <v>725582090</v>
      </c>
      <c r="T396" s="274" t="s">
        <v>1142</v>
      </c>
    </row>
    <row r="397" spans="2:20" x14ac:dyDescent="0.25">
      <c r="B397" s="10">
        <v>396</v>
      </c>
      <c r="C397" s="53" t="s">
        <v>14</v>
      </c>
      <c r="D397" s="22" t="s">
        <v>1402</v>
      </c>
      <c r="E397" s="46" t="s">
        <v>94</v>
      </c>
      <c r="F397" s="54">
        <v>78.706000000000003</v>
      </c>
      <c r="G397" s="47"/>
      <c r="H397" s="48">
        <v>2009</v>
      </c>
      <c r="I397" s="26">
        <v>43647</v>
      </c>
      <c r="J397" s="49" t="s">
        <v>95</v>
      </c>
      <c r="K397" s="48">
        <v>2009</v>
      </c>
      <c r="L397" s="26" t="s">
        <v>97</v>
      </c>
      <c r="M397" s="27">
        <v>45506</v>
      </c>
      <c r="N397" s="27">
        <f t="shared" si="22"/>
        <v>47332</v>
      </c>
      <c r="O397" s="27" t="str">
        <f>VLOOKUP(D397,'[1]PZ a UTZ'!$C$341:$H$464,5,FALSE)</f>
        <v>PZ 1783/09-E.49</v>
      </c>
      <c r="P397" s="27">
        <f>VLOOKUP(D397,'[1]PZ a UTZ'!$C$341:$H$464,6,FALSE)</f>
        <v>43669</v>
      </c>
      <c r="Q397" s="27">
        <f>EDATE(P397,60)</f>
        <v>45496</v>
      </c>
      <c r="R397" s="242" t="s">
        <v>1491</v>
      </c>
      <c r="S397" s="258">
        <v>725582090</v>
      </c>
      <c r="T397" s="274" t="s">
        <v>952</v>
      </c>
    </row>
    <row r="398" spans="2:20" x14ac:dyDescent="0.25">
      <c r="B398" s="10">
        <v>397</v>
      </c>
      <c r="C398" s="57" t="s">
        <v>885</v>
      </c>
      <c r="D398" s="58" t="s">
        <v>1402</v>
      </c>
      <c r="E398" s="59" t="s">
        <v>94</v>
      </c>
      <c r="F398" s="60">
        <v>78.69</v>
      </c>
      <c r="G398" s="61" t="s">
        <v>1276</v>
      </c>
      <c r="H398" s="62">
        <v>2009</v>
      </c>
      <c r="I398" s="66">
        <v>43647</v>
      </c>
      <c r="J398" s="64" t="s">
        <v>95</v>
      </c>
      <c r="K398" s="62">
        <v>2009</v>
      </c>
      <c r="L398" s="63" t="s">
        <v>899</v>
      </c>
      <c r="M398" s="67">
        <v>45506</v>
      </c>
      <c r="N398" s="67">
        <f t="shared" si="22"/>
        <v>47332</v>
      </c>
      <c r="O398" s="209"/>
      <c r="P398" s="209"/>
      <c r="Q398" s="209"/>
      <c r="R398" s="245" t="s">
        <v>1491</v>
      </c>
      <c r="S398" s="261">
        <v>725582090</v>
      </c>
      <c r="T398" s="275" t="s">
        <v>952</v>
      </c>
    </row>
    <row r="399" spans="2:20" x14ac:dyDescent="0.25">
      <c r="B399" s="10">
        <v>398</v>
      </c>
      <c r="C399" s="45" t="s">
        <v>190</v>
      </c>
      <c r="D399" s="22" t="s">
        <v>743</v>
      </c>
      <c r="E399" s="51" t="s">
        <v>92</v>
      </c>
      <c r="F399" s="47">
        <v>15.115</v>
      </c>
      <c r="G399" s="47" t="s">
        <v>744</v>
      </c>
      <c r="H399" s="56">
        <v>2009</v>
      </c>
      <c r="I399" s="49">
        <v>43678</v>
      </c>
      <c r="J399" s="26" t="s">
        <v>40</v>
      </c>
      <c r="K399" s="48">
        <v>2009</v>
      </c>
      <c r="L399" s="49" t="s">
        <v>745</v>
      </c>
      <c r="M399" s="27">
        <v>45518</v>
      </c>
      <c r="N399" s="27">
        <f t="shared" si="22"/>
        <v>47344</v>
      </c>
      <c r="O399" s="27" t="str">
        <f>VLOOKUP(F399,'[1]PZ a UTZ'!$E$2:$H$335,3,FALSE)</f>
        <v>PZ 1938/09-E.49</v>
      </c>
      <c r="P399" s="27">
        <f>VLOOKUP(F399,'[1]PZ a UTZ'!$E$2:$H$335,4,FALSE)</f>
        <v>43647</v>
      </c>
      <c r="Q399" s="27">
        <f t="shared" ref="Q399:Q406" si="24">EDATE(P399,60)</f>
        <v>45474</v>
      </c>
      <c r="R399" s="242" t="s">
        <v>1502</v>
      </c>
      <c r="S399" s="258">
        <v>724862388</v>
      </c>
      <c r="T399" s="274" t="s">
        <v>1217</v>
      </c>
    </row>
    <row r="400" spans="2:20" x14ac:dyDescent="0.25">
      <c r="B400" s="10">
        <v>399</v>
      </c>
      <c r="C400" s="68" t="s">
        <v>164</v>
      </c>
      <c r="D400" s="22" t="s">
        <v>1403</v>
      </c>
      <c r="E400" s="46" t="s">
        <v>53</v>
      </c>
      <c r="F400" s="69">
        <v>57.433</v>
      </c>
      <c r="G400" s="24" t="s">
        <v>1404</v>
      </c>
      <c r="H400" s="48">
        <v>2011</v>
      </c>
      <c r="I400" s="49">
        <v>43678</v>
      </c>
      <c r="J400" s="49" t="s">
        <v>17</v>
      </c>
      <c r="K400" s="56">
        <v>2012</v>
      </c>
      <c r="L400" s="49" t="s">
        <v>170</v>
      </c>
      <c r="M400" s="27">
        <v>45518</v>
      </c>
      <c r="N400" s="27">
        <f t="shared" si="22"/>
        <v>47344</v>
      </c>
      <c r="O400" s="27" t="e">
        <f>VLOOKUP(D400,'[1]PZ a UTZ'!B476:G569,5,FALSE)</f>
        <v>#N/A</v>
      </c>
      <c r="P400" s="27" t="e">
        <f>VLOOKUP(D400,'[1]PZ a UTZ'!B476:G569,6,FALSE)</f>
        <v>#N/A</v>
      </c>
      <c r="Q400" s="27" t="e">
        <f t="shared" si="24"/>
        <v>#N/A</v>
      </c>
      <c r="R400" s="242" t="s">
        <v>1536</v>
      </c>
      <c r="S400" s="258">
        <v>702062263</v>
      </c>
      <c r="T400" s="280" t="s">
        <v>986</v>
      </c>
    </row>
    <row r="401" spans="2:20" x14ac:dyDescent="0.25">
      <c r="B401" s="10">
        <v>400</v>
      </c>
      <c r="C401" s="45" t="s">
        <v>190</v>
      </c>
      <c r="D401" s="22" t="s">
        <v>65</v>
      </c>
      <c r="E401" s="46" t="s">
        <v>63</v>
      </c>
      <c r="F401" s="47">
        <v>124.88200000000001</v>
      </c>
      <c r="G401" s="47" t="s">
        <v>433</v>
      </c>
      <c r="H401" s="48">
        <v>1989</v>
      </c>
      <c r="I401" s="26">
        <v>44317</v>
      </c>
      <c r="J401" s="26" t="s">
        <v>70</v>
      </c>
      <c r="K401" s="86">
        <v>1989</v>
      </c>
      <c r="L401" s="26" t="s">
        <v>434</v>
      </c>
      <c r="M401" s="27">
        <v>45519</v>
      </c>
      <c r="N401" s="27">
        <f t="shared" si="22"/>
        <v>47345</v>
      </c>
      <c r="O401" s="27" t="s">
        <v>1629</v>
      </c>
      <c r="P401" s="27">
        <v>44342</v>
      </c>
      <c r="Q401" s="27">
        <f t="shared" si="24"/>
        <v>46168</v>
      </c>
      <c r="R401" s="242" t="s">
        <v>1532</v>
      </c>
      <c r="S401" s="258">
        <v>725339118</v>
      </c>
      <c r="T401" s="274" t="s">
        <v>1093</v>
      </c>
    </row>
    <row r="402" spans="2:20" x14ac:dyDescent="0.25">
      <c r="B402" s="10">
        <v>401</v>
      </c>
      <c r="C402" s="45" t="s">
        <v>190</v>
      </c>
      <c r="D402" s="22" t="s">
        <v>435</v>
      </c>
      <c r="E402" s="46" t="s">
        <v>63</v>
      </c>
      <c r="F402" s="47">
        <v>127.88500000000001</v>
      </c>
      <c r="G402" s="47" t="s">
        <v>436</v>
      </c>
      <c r="H402" s="95">
        <v>1981</v>
      </c>
      <c r="I402" s="26">
        <v>44317</v>
      </c>
      <c r="J402" s="26" t="s">
        <v>70</v>
      </c>
      <c r="K402" s="48">
        <v>1989</v>
      </c>
      <c r="L402" s="26" t="s">
        <v>437</v>
      </c>
      <c r="M402" s="27">
        <v>45519</v>
      </c>
      <c r="N402" s="27">
        <f t="shared" si="22"/>
        <v>47345</v>
      </c>
      <c r="O402" s="27" t="s">
        <v>1630</v>
      </c>
      <c r="P402" s="27">
        <v>44342</v>
      </c>
      <c r="Q402" s="27">
        <f t="shared" si="24"/>
        <v>46168</v>
      </c>
      <c r="R402" s="242" t="s">
        <v>1532</v>
      </c>
      <c r="S402" s="258">
        <v>725339118</v>
      </c>
      <c r="T402" s="274" t="s">
        <v>1094</v>
      </c>
    </row>
    <row r="403" spans="2:20" x14ac:dyDescent="0.25">
      <c r="B403" s="10">
        <v>402</v>
      </c>
      <c r="C403" s="161" t="s">
        <v>164</v>
      </c>
      <c r="D403" s="22" t="s">
        <v>173</v>
      </c>
      <c r="E403" s="46" t="s">
        <v>63</v>
      </c>
      <c r="F403" s="54">
        <v>33.957999999999998</v>
      </c>
      <c r="G403" s="47"/>
      <c r="H403" s="48">
        <v>1986</v>
      </c>
      <c r="I403" s="49">
        <v>43678</v>
      </c>
      <c r="J403" s="49" t="s">
        <v>70</v>
      </c>
      <c r="K403" s="56">
        <v>1989</v>
      </c>
      <c r="L403" s="49" t="s">
        <v>174</v>
      </c>
      <c r="M403" s="27">
        <v>45519</v>
      </c>
      <c r="N403" s="27">
        <f t="shared" si="22"/>
        <v>47345</v>
      </c>
      <c r="O403" s="27" t="s">
        <v>1631</v>
      </c>
      <c r="P403" s="27">
        <v>43938</v>
      </c>
      <c r="Q403" s="27">
        <f t="shared" si="24"/>
        <v>45764</v>
      </c>
      <c r="R403" s="242" t="s">
        <v>1497</v>
      </c>
      <c r="S403" s="258">
        <v>724862430</v>
      </c>
      <c r="T403" s="274" t="s">
        <v>988</v>
      </c>
    </row>
    <row r="404" spans="2:20" x14ac:dyDescent="0.25">
      <c r="B404" s="10">
        <v>403</v>
      </c>
      <c r="C404" s="81" t="s">
        <v>190</v>
      </c>
      <c r="D404" s="22" t="s">
        <v>377</v>
      </c>
      <c r="E404" s="46" t="s">
        <v>25</v>
      </c>
      <c r="F404" s="24">
        <v>21.504000000000001</v>
      </c>
      <c r="G404" s="24" t="s">
        <v>378</v>
      </c>
      <c r="H404" s="25">
        <v>2019</v>
      </c>
      <c r="I404" s="26">
        <v>43678</v>
      </c>
      <c r="J404" s="26" t="s">
        <v>124</v>
      </c>
      <c r="K404" s="56">
        <v>2019</v>
      </c>
      <c r="L404" s="26" t="s">
        <v>123</v>
      </c>
      <c r="M404" s="27">
        <v>45526</v>
      </c>
      <c r="N404" s="27">
        <f t="shared" si="22"/>
        <v>47352</v>
      </c>
      <c r="O404" s="27" t="str">
        <f>VLOOKUP(F404,'[1]PZ a UTZ'!$E$2:$H$335,3,FALSE)</f>
        <v>PZ 1084/19-E.49</v>
      </c>
      <c r="P404" s="27">
        <f>VLOOKUP(F404,'[1]PZ a UTZ'!$E$2:$H$335,4,FALSE)</f>
        <v>43693</v>
      </c>
      <c r="Q404" s="27">
        <f t="shared" si="24"/>
        <v>45520</v>
      </c>
      <c r="R404" s="242" t="s">
        <v>1493</v>
      </c>
      <c r="S404" s="258">
        <v>602668264</v>
      </c>
      <c r="T404" s="268" t="s">
        <v>1072</v>
      </c>
    </row>
    <row r="405" spans="2:20" x14ac:dyDescent="0.25">
      <c r="B405" s="10">
        <v>404</v>
      </c>
      <c r="C405" s="81" t="s">
        <v>190</v>
      </c>
      <c r="D405" s="22" t="s">
        <v>379</v>
      </c>
      <c r="E405" s="46" t="s">
        <v>25</v>
      </c>
      <c r="F405" s="24">
        <v>22.693999999999999</v>
      </c>
      <c r="G405" s="24" t="s">
        <v>380</v>
      </c>
      <c r="H405" s="25">
        <v>2019</v>
      </c>
      <c r="I405" s="26">
        <v>43678</v>
      </c>
      <c r="J405" s="26" t="s">
        <v>124</v>
      </c>
      <c r="K405" s="56">
        <v>2019</v>
      </c>
      <c r="L405" s="26" t="s">
        <v>381</v>
      </c>
      <c r="M405" s="27">
        <v>45526</v>
      </c>
      <c r="N405" s="27">
        <f t="shared" si="22"/>
        <v>47352</v>
      </c>
      <c r="O405" s="27" t="str">
        <f>VLOOKUP(F405,'[1]PZ a UTZ'!$E$2:$H$335,3,FALSE)</f>
        <v>PZ 1083/19-E.49</v>
      </c>
      <c r="P405" s="27">
        <f>VLOOKUP(F405,'[1]PZ a UTZ'!$E$2:$H$335,4,FALSE)</f>
        <v>43693</v>
      </c>
      <c r="Q405" s="27">
        <f t="shared" si="24"/>
        <v>45520</v>
      </c>
      <c r="R405" s="242" t="s">
        <v>1493</v>
      </c>
      <c r="S405" s="258">
        <v>602668264</v>
      </c>
      <c r="T405" s="268" t="s">
        <v>1073</v>
      </c>
    </row>
    <row r="406" spans="2:20" x14ac:dyDescent="0.25">
      <c r="B406" s="10">
        <v>405</v>
      </c>
      <c r="C406" s="119" t="s">
        <v>14</v>
      </c>
      <c r="D406" s="30" t="s">
        <v>1316</v>
      </c>
      <c r="E406" s="72" t="s">
        <v>63</v>
      </c>
      <c r="F406" s="182">
        <v>150.60900000000001</v>
      </c>
      <c r="G406" s="73" t="s">
        <v>1405</v>
      </c>
      <c r="H406" s="89">
        <v>2019</v>
      </c>
      <c r="I406" s="44">
        <v>43678</v>
      </c>
      <c r="J406" s="44" t="s">
        <v>77</v>
      </c>
      <c r="K406" s="36">
        <v>2019</v>
      </c>
      <c r="L406" s="203" t="s">
        <v>1406</v>
      </c>
      <c r="M406" s="204">
        <v>45527</v>
      </c>
      <c r="N406" s="204">
        <f t="shared" si="22"/>
        <v>47353</v>
      </c>
      <c r="O406" s="37" t="str">
        <f>VLOOKUP(D406,'[1]PZ a UTZ'!$C$341:$H$464,5,FALSE)</f>
        <v>PZ 12088/96-E.49</v>
      </c>
      <c r="P406" s="37">
        <v>44336</v>
      </c>
      <c r="Q406" s="37">
        <f t="shared" si="24"/>
        <v>46162</v>
      </c>
      <c r="R406" s="243" t="s">
        <v>1527</v>
      </c>
      <c r="S406" s="259">
        <v>607032129</v>
      </c>
      <c r="T406" s="290" t="s">
        <v>1677</v>
      </c>
    </row>
    <row r="407" spans="2:20" x14ac:dyDescent="0.25">
      <c r="B407" s="10">
        <v>406</v>
      </c>
      <c r="C407" s="53" t="s">
        <v>14</v>
      </c>
      <c r="D407" s="22" t="s">
        <v>22</v>
      </c>
      <c r="E407" s="46" t="s">
        <v>15</v>
      </c>
      <c r="F407" s="54">
        <v>113.874</v>
      </c>
      <c r="G407" s="47"/>
      <c r="H407" s="48">
        <v>2019</v>
      </c>
      <c r="I407" s="49">
        <v>43678</v>
      </c>
      <c r="J407" s="49" t="s">
        <v>17</v>
      </c>
      <c r="K407" s="48">
        <v>2019</v>
      </c>
      <c r="L407" s="49" t="s">
        <v>23</v>
      </c>
      <c r="M407" s="27">
        <v>45539</v>
      </c>
      <c r="N407" s="27">
        <f t="shared" si="22"/>
        <v>47365</v>
      </c>
      <c r="O407" s="209"/>
      <c r="P407" s="209"/>
      <c r="Q407" s="209"/>
      <c r="R407" s="242" t="s">
        <v>1493</v>
      </c>
      <c r="S407" s="258">
        <v>602668264</v>
      </c>
      <c r="T407" s="276" t="s">
        <v>1678</v>
      </c>
    </row>
    <row r="408" spans="2:20" x14ac:dyDescent="0.25">
      <c r="B408" s="10">
        <v>407</v>
      </c>
      <c r="C408" s="57" t="s">
        <v>885</v>
      </c>
      <c r="D408" s="58" t="s">
        <v>22</v>
      </c>
      <c r="E408" s="59" t="s">
        <v>15</v>
      </c>
      <c r="F408" s="60">
        <v>113.874</v>
      </c>
      <c r="G408" s="61" t="s">
        <v>1276</v>
      </c>
      <c r="H408" s="62">
        <v>2019</v>
      </c>
      <c r="I408" s="64">
        <v>43678</v>
      </c>
      <c r="J408" s="64" t="s">
        <v>17</v>
      </c>
      <c r="K408" s="62">
        <v>2019</v>
      </c>
      <c r="L408" s="64" t="s">
        <v>1407</v>
      </c>
      <c r="M408" s="67">
        <v>45539</v>
      </c>
      <c r="N408" s="67">
        <f t="shared" si="22"/>
        <v>47365</v>
      </c>
      <c r="O408" s="209"/>
      <c r="P408" s="209"/>
      <c r="Q408" s="209"/>
      <c r="R408" s="245" t="s">
        <v>1493</v>
      </c>
      <c r="S408" s="261">
        <v>602668264</v>
      </c>
      <c r="T408" s="284" t="s">
        <v>1678</v>
      </c>
    </row>
    <row r="409" spans="2:20" x14ac:dyDescent="0.25">
      <c r="B409" s="10">
        <v>408</v>
      </c>
      <c r="C409" s="53" t="s">
        <v>14</v>
      </c>
      <c r="D409" s="22" t="s">
        <v>154</v>
      </c>
      <c r="E409" s="46" t="s">
        <v>133</v>
      </c>
      <c r="F409" s="54">
        <v>417.54399999999998</v>
      </c>
      <c r="G409" s="47"/>
      <c r="H409" s="48">
        <v>2009</v>
      </c>
      <c r="I409" s="138">
        <v>43709</v>
      </c>
      <c r="J409" s="49" t="s">
        <v>17</v>
      </c>
      <c r="K409" s="48">
        <v>2009</v>
      </c>
      <c r="L409" s="49" t="s">
        <v>155</v>
      </c>
      <c r="M409" s="27">
        <v>45541</v>
      </c>
      <c r="N409" s="27">
        <f t="shared" si="22"/>
        <v>47367</v>
      </c>
      <c r="O409" s="27" t="str">
        <f>VLOOKUP(D409,'[1]PZ a UTZ'!$C$341:$H$464,5,FALSE)</f>
        <v>PZ 2474/09-E.49</v>
      </c>
      <c r="P409" s="27">
        <f>VLOOKUP(D409,'[1]PZ a UTZ'!$C$341:$H$464,6,FALSE)</f>
        <v>43789</v>
      </c>
      <c r="Q409" s="27">
        <f>EDATE(P409,60)</f>
        <v>45616</v>
      </c>
      <c r="R409" s="242" t="s">
        <v>1529</v>
      </c>
      <c r="S409" s="258">
        <v>724214467</v>
      </c>
      <c r="T409" s="274" t="s">
        <v>979</v>
      </c>
    </row>
    <row r="410" spans="2:20" x14ac:dyDescent="0.25">
      <c r="B410" s="10">
        <v>409</v>
      </c>
      <c r="C410" s="57" t="s">
        <v>885</v>
      </c>
      <c r="D410" s="58" t="s">
        <v>154</v>
      </c>
      <c r="E410" s="59" t="s">
        <v>133</v>
      </c>
      <c r="F410" s="60">
        <v>417.54399999999998</v>
      </c>
      <c r="G410" s="61" t="s">
        <v>1276</v>
      </c>
      <c r="H410" s="62">
        <v>2009</v>
      </c>
      <c r="I410" s="139">
        <v>43709</v>
      </c>
      <c r="J410" s="64" t="s">
        <v>17</v>
      </c>
      <c r="K410" s="62">
        <v>2009</v>
      </c>
      <c r="L410" s="64" t="s">
        <v>897</v>
      </c>
      <c r="M410" s="67">
        <v>45541</v>
      </c>
      <c r="N410" s="67">
        <f t="shared" si="22"/>
        <v>47367</v>
      </c>
      <c r="O410" s="209"/>
      <c r="P410" s="209"/>
      <c r="Q410" s="209"/>
      <c r="R410" s="245" t="s">
        <v>1529</v>
      </c>
      <c r="S410" s="261">
        <v>724214467</v>
      </c>
      <c r="T410" s="275" t="s">
        <v>979</v>
      </c>
    </row>
    <row r="411" spans="2:20" x14ac:dyDescent="0.25">
      <c r="B411" s="10">
        <v>410</v>
      </c>
      <c r="C411" s="161" t="s">
        <v>164</v>
      </c>
      <c r="D411" s="22" t="s">
        <v>171</v>
      </c>
      <c r="E411" s="46" t="s">
        <v>63</v>
      </c>
      <c r="F411" s="54">
        <v>117.398</v>
      </c>
      <c r="G411" s="47"/>
      <c r="H411" s="48">
        <v>1975</v>
      </c>
      <c r="I411" s="127">
        <v>43709</v>
      </c>
      <c r="J411" s="49" t="s">
        <v>172</v>
      </c>
      <c r="K411" s="56">
        <v>1990</v>
      </c>
      <c r="L411" s="49" t="s">
        <v>1408</v>
      </c>
      <c r="M411" s="27">
        <v>45547</v>
      </c>
      <c r="N411" s="27">
        <f t="shared" si="22"/>
        <v>47373</v>
      </c>
      <c r="O411" s="27" t="s">
        <v>1631</v>
      </c>
      <c r="P411" s="27">
        <v>43938</v>
      </c>
      <c r="Q411" s="27">
        <f>EDATE(P411,60)</f>
        <v>45764</v>
      </c>
      <c r="R411" s="242" t="s">
        <v>1497</v>
      </c>
      <c r="S411" s="258">
        <v>724862430</v>
      </c>
      <c r="T411" s="274" t="s">
        <v>987</v>
      </c>
    </row>
    <row r="412" spans="2:20" x14ac:dyDescent="0.25">
      <c r="B412" s="10">
        <v>411</v>
      </c>
      <c r="C412" s="53" t="s">
        <v>14</v>
      </c>
      <c r="D412" s="22" t="s">
        <v>119</v>
      </c>
      <c r="E412" s="46" t="s">
        <v>112</v>
      </c>
      <c r="F412" s="54" t="s">
        <v>1409</v>
      </c>
      <c r="G412" s="47"/>
      <c r="H412" s="48">
        <v>1968</v>
      </c>
      <c r="I412" s="49">
        <v>43709</v>
      </c>
      <c r="J412" s="49" t="s">
        <v>120</v>
      </c>
      <c r="K412" s="56" t="s">
        <v>121</v>
      </c>
      <c r="L412" s="49" t="s">
        <v>1410</v>
      </c>
      <c r="M412" s="27">
        <v>45552</v>
      </c>
      <c r="N412" s="27">
        <f t="shared" si="22"/>
        <v>47378</v>
      </c>
      <c r="O412" s="27" t="str">
        <f>VLOOKUP(D412,'[1]PZ a UTZ'!$C$341:$H$464,5,FALSE)</f>
        <v>PZ 10139/96-E.49</v>
      </c>
      <c r="P412" s="27">
        <f>VLOOKUP(D412,'[1]PZ a UTZ'!$C$341:$H$464,6,FALSE)</f>
        <v>44034</v>
      </c>
      <c r="Q412" s="27">
        <f>EDATE(P412,60)</f>
        <v>45860</v>
      </c>
      <c r="R412" s="242" t="s">
        <v>1498</v>
      </c>
      <c r="S412" s="258">
        <v>725339124</v>
      </c>
      <c r="T412" s="274" t="s">
        <v>963</v>
      </c>
    </row>
    <row r="413" spans="2:20" x14ac:dyDescent="0.25">
      <c r="B413" s="10">
        <v>412</v>
      </c>
      <c r="C413" s="100" t="s">
        <v>1289</v>
      </c>
      <c r="D413" s="101" t="s">
        <v>130</v>
      </c>
      <c r="E413" s="102" t="s">
        <v>112</v>
      </c>
      <c r="F413" s="103">
        <v>39.631</v>
      </c>
      <c r="G413" s="104"/>
      <c r="H413" s="95">
        <v>2024</v>
      </c>
      <c r="I413" s="106">
        <v>44958</v>
      </c>
      <c r="J413" s="44" t="s">
        <v>1411</v>
      </c>
      <c r="K413" s="36">
        <v>2024</v>
      </c>
      <c r="L413" s="44" t="s">
        <v>917</v>
      </c>
      <c r="M413" s="37">
        <v>45553</v>
      </c>
      <c r="N413" s="37">
        <f t="shared" si="22"/>
        <v>47379</v>
      </c>
      <c r="O413" s="209"/>
      <c r="P413" s="209"/>
      <c r="Q413" s="209"/>
      <c r="R413" s="246" t="s">
        <v>1524</v>
      </c>
      <c r="S413" s="262">
        <v>602668276</v>
      </c>
      <c r="T413" s="283" t="s">
        <v>966</v>
      </c>
    </row>
    <row r="414" spans="2:20" x14ac:dyDescent="0.25">
      <c r="B414" s="10">
        <v>413</v>
      </c>
      <c r="C414" s="100" t="s">
        <v>1289</v>
      </c>
      <c r="D414" s="101" t="s">
        <v>131</v>
      </c>
      <c r="E414" s="102" t="s">
        <v>112</v>
      </c>
      <c r="F414" s="103">
        <v>45.326000000000001</v>
      </c>
      <c r="G414" s="104"/>
      <c r="H414" s="95">
        <v>2024</v>
      </c>
      <c r="I414" s="106">
        <v>44075</v>
      </c>
      <c r="J414" s="44" t="s">
        <v>1411</v>
      </c>
      <c r="K414" s="36">
        <v>2024</v>
      </c>
      <c r="L414" s="44" t="s">
        <v>917</v>
      </c>
      <c r="M414" s="37">
        <v>45553</v>
      </c>
      <c r="N414" s="37">
        <f t="shared" si="22"/>
        <v>47379</v>
      </c>
      <c r="O414" s="209"/>
      <c r="P414" s="209"/>
      <c r="Q414" s="209"/>
      <c r="R414" s="246" t="s">
        <v>1497</v>
      </c>
      <c r="S414" s="262">
        <v>724862430</v>
      </c>
      <c r="T414" s="283" t="s">
        <v>967</v>
      </c>
    </row>
    <row r="415" spans="2:20" x14ac:dyDescent="0.25">
      <c r="B415" s="10">
        <v>414</v>
      </c>
      <c r="C415" s="71" t="s">
        <v>190</v>
      </c>
      <c r="D415" s="30" t="s">
        <v>760</v>
      </c>
      <c r="E415" s="94" t="s">
        <v>761</v>
      </c>
      <c r="F415" s="73">
        <v>8.2880000000000003</v>
      </c>
      <c r="G415" s="73" t="s">
        <v>1412</v>
      </c>
      <c r="H415" s="89">
        <v>2024</v>
      </c>
      <c r="I415" s="205">
        <v>45536</v>
      </c>
      <c r="J415" s="35" t="s">
        <v>49</v>
      </c>
      <c r="K415" s="89">
        <v>2024</v>
      </c>
      <c r="L415" s="35" t="s">
        <v>917</v>
      </c>
      <c r="M415" s="37">
        <v>45554</v>
      </c>
      <c r="N415" s="37">
        <f t="shared" si="22"/>
        <v>47380</v>
      </c>
      <c r="O415" s="37" t="s">
        <v>1632</v>
      </c>
      <c r="P415" s="37">
        <v>44743</v>
      </c>
      <c r="Q415" s="37">
        <f t="shared" ref="Q415:Q421" si="25">EDATE(P415,60)</f>
        <v>46569</v>
      </c>
      <c r="R415" s="243" t="s">
        <v>1492</v>
      </c>
      <c r="S415" s="259">
        <v>724214647</v>
      </c>
      <c r="T415" s="290" t="s">
        <v>1679</v>
      </c>
    </row>
    <row r="416" spans="2:20" x14ac:dyDescent="0.25">
      <c r="B416" s="10">
        <v>415</v>
      </c>
      <c r="C416" s="81" t="s">
        <v>190</v>
      </c>
      <c r="D416" s="22" t="s">
        <v>850</v>
      </c>
      <c r="E416" s="46" t="s">
        <v>133</v>
      </c>
      <c r="F416" s="24">
        <v>416.55700000000002</v>
      </c>
      <c r="G416" s="24" t="s">
        <v>851</v>
      </c>
      <c r="H416" s="25">
        <v>2009</v>
      </c>
      <c r="I416" s="55">
        <v>43709</v>
      </c>
      <c r="J416" s="49" t="s">
        <v>17</v>
      </c>
      <c r="K416" s="48">
        <v>2009</v>
      </c>
      <c r="L416" s="26" t="s">
        <v>1413</v>
      </c>
      <c r="M416" s="27">
        <v>45560</v>
      </c>
      <c r="N416" s="27">
        <f t="shared" si="22"/>
        <v>47386</v>
      </c>
      <c r="O416" s="27" t="str">
        <f>VLOOKUP(F416,'[1]PZ a UTZ'!$E$2:$H$335,3,FALSE)</f>
        <v>PZ 2483/09-E.49</v>
      </c>
      <c r="P416" s="27">
        <f>VLOOKUP(F416,'[1]PZ a UTZ'!$E$2:$H$335,4,FALSE)</f>
        <v>43790</v>
      </c>
      <c r="Q416" s="27">
        <f t="shared" si="25"/>
        <v>45617</v>
      </c>
      <c r="R416" s="242" t="s">
        <v>1490</v>
      </c>
      <c r="S416" s="258">
        <v>721654457</v>
      </c>
      <c r="T416" s="268" t="s">
        <v>1254</v>
      </c>
    </row>
    <row r="417" spans="2:20" x14ac:dyDescent="0.25">
      <c r="B417" s="10">
        <v>416</v>
      </c>
      <c r="C417" s="81" t="s">
        <v>190</v>
      </c>
      <c r="D417" s="22" t="s">
        <v>852</v>
      </c>
      <c r="E417" s="46" t="s">
        <v>133</v>
      </c>
      <c r="F417" s="24">
        <v>417.12799999999999</v>
      </c>
      <c r="G417" s="24" t="s">
        <v>853</v>
      </c>
      <c r="H417" s="25">
        <v>2009</v>
      </c>
      <c r="I417" s="55">
        <v>43709</v>
      </c>
      <c r="J417" s="49" t="s">
        <v>17</v>
      </c>
      <c r="K417" s="48">
        <v>2009</v>
      </c>
      <c r="L417" s="26" t="s">
        <v>1414</v>
      </c>
      <c r="M417" s="27">
        <v>45560</v>
      </c>
      <c r="N417" s="27">
        <f t="shared" si="22"/>
        <v>47386</v>
      </c>
      <c r="O417" s="27" t="str">
        <f>VLOOKUP(F417,'[1]PZ a UTZ'!$E$2:$H$335,3,FALSE)</f>
        <v>PZ 2482/09-E.49</v>
      </c>
      <c r="P417" s="27">
        <f>VLOOKUP(F417,'[1]PZ a UTZ'!$E$2:$H$335,4,FALSE)</f>
        <v>43789</v>
      </c>
      <c r="Q417" s="27">
        <f t="shared" si="25"/>
        <v>45616</v>
      </c>
      <c r="R417" s="242" t="s">
        <v>1529</v>
      </c>
      <c r="S417" s="258">
        <v>724214467</v>
      </c>
      <c r="T417" s="268" t="s">
        <v>1255</v>
      </c>
    </row>
    <row r="418" spans="2:20" x14ac:dyDescent="0.25">
      <c r="B418" s="10">
        <v>417</v>
      </c>
      <c r="C418" s="68" t="s">
        <v>164</v>
      </c>
      <c r="D418" s="22" t="s">
        <v>1415</v>
      </c>
      <c r="E418" s="46" t="s">
        <v>133</v>
      </c>
      <c r="F418" s="69">
        <v>417.54399999999998</v>
      </c>
      <c r="G418" s="24" t="s">
        <v>1278</v>
      </c>
      <c r="H418" s="25">
        <v>2009</v>
      </c>
      <c r="I418" s="55">
        <v>43709</v>
      </c>
      <c r="J418" s="49" t="s">
        <v>17</v>
      </c>
      <c r="K418" s="48">
        <v>2009</v>
      </c>
      <c r="L418" s="26" t="s">
        <v>1416</v>
      </c>
      <c r="M418" s="27">
        <v>45560</v>
      </c>
      <c r="N418" s="27">
        <f t="shared" si="22"/>
        <v>47386</v>
      </c>
      <c r="O418" s="27" t="str">
        <f>VLOOKUP(D418,'[1]PZ a UTZ'!$C$470:$H$664,5,FALSE)</f>
        <v>PZ 2475/09-E.49</v>
      </c>
      <c r="P418" s="27">
        <f>VLOOKUP(D418,'[1]PZ a UTZ'!$C$470:$H$664,6,FALSE)</f>
        <v>43790</v>
      </c>
      <c r="Q418" s="27">
        <f t="shared" si="25"/>
        <v>45617</v>
      </c>
      <c r="R418" s="242" t="s">
        <v>1529</v>
      </c>
      <c r="S418" s="258">
        <v>724214467</v>
      </c>
      <c r="T418" s="280" t="s">
        <v>1002</v>
      </c>
    </row>
    <row r="419" spans="2:20" x14ac:dyDescent="0.25">
      <c r="B419" s="10">
        <v>418</v>
      </c>
      <c r="C419" s="45" t="s">
        <v>190</v>
      </c>
      <c r="D419" s="22" t="s">
        <v>122</v>
      </c>
      <c r="E419" s="46" t="s">
        <v>112</v>
      </c>
      <c r="F419" s="47">
        <v>24.379000000000001</v>
      </c>
      <c r="G419" s="47" t="s">
        <v>687</v>
      </c>
      <c r="H419" s="48">
        <v>2014</v>
      </c>
      <c r="I419" s="55">
        <v>43709</v>
      </c>
      <c r="J419" s="26" t="s">
        <v>124</v>
      </c>
      <c r="K419" s="48">
        <v>2014</v>
      </c>
      <c r="L419" s="26" t="s">
        <v>1417</v>
      </c>
      <c r="M419" s="27">
        <v>45561</v>
      </c>
      <c r="N419" s="27">
        <f t="shared" si="22"/>
        <v>47387</v>
      </c>
      <c r="O419" s="27" t="str">
        <f>VLOOKUP(F419,'[1]PZ a UTZ'!$E$2:$H$335,3,FALSE)</f>
        <v>PZ 1900/14-E.49</v>
      </c>
      <c r="P419" s="27">
        <f>VLOOKUP(F419,'[1]PZ a UTZ'!$E$2:$H$335,4,FALSE)</f>
        <v>43745</v>
      </c>
      <c r="Q419" s="27">
        <f t="shared" si="25"/>
        <v>45572</v>
      </c>
      <c r="R419" s="242" t="s">
        <v>1498</v>
      </c>
      <c r="S419" s="258">
        <v>725339124</v>
      </c>
      <c r="T419" s="274" t="s">
        <v>1185</v>
      </c>
    </row>
    <row r="420" spans="2:20" x14ac:dyDescent="0.25">
      <c r="B420" s="10">
        <v>419</v>
      </c>
      <c r="C420" s="68" t="s">
        <v>164</v>
      </c>
      <c r="D420" s="22" t="s">
        <v>1418</v>
      </c>
      <c r="E420" s="46" t="s">
        <v>133</v>
      </c>
      <c r="F420" s="54">
        <v>412.55700000000002</v>
      </c>
      <c r="G420" s="24" t="s">
        <v>1419</v>
      </c>
      <c r="H420" s="25">
        <v>2009</v>
      </c>
      <c r="I420" s="55">
        <v>43709</v>
      </c>
      <c r="J420" s="49" t="s">
        <v>17</v>
      </c>
      <c r="K420" s="48">
        <v>2009</v>
      </c>
      <c r="L420" s="26" t="s">
        <v>1420</v>
      </c>
      <c r="M420" s="27">
        <v>45561</v>
      </c>
      <c r="N420" s="27">
        <f t="shared" si="22"/>
        <v>47387</v>
      </c>
      <c r="O420" s="27" t="str">
        <f>VLOOKUP(D420,'[1]PZ a UTZ'!$C$470:$H$664,5,FALSE)</f>
        <v>PZ 2476/09-E.49</v>
      </c>
      <c r="P420" s="27">
        <f>VLOOKUP(D420,'[1]PZ a UTZ'!$C$470:$H$664,6,FALSE)</f>
        <v>43789</v>
      </c>
      <c r="Q420" s="27">
        <f t="shared" si="25"/>
        <v>45616</v>
      </c>
      <c r="R420" s="242" t="s">
        <v>1490</v>
      </c>
      <c r="S420" s="258">
        <v>721654457</v>
      </c>
      <c r="T420" s="280" t="s">
        <v>1001</v>
      </c>
    </row>
    <row r="421" spans="2:20" x14ac:dyDescent="0.25">
      <c r="B421" s="10">
        <v>420</v>
      </c>
      <c r="C421" s="53" t="s">
        <v>14</v>
      </c>
      <c r="D421" s="22" t="s">
        <v>1421</v>
      </c>
      <c r="E421" s="46" t="s">
        <v>94</v>
      </c>
      <c r="F421" s="54">
        <v>89.953000000000003</v>
      </c>
      <c r="G421" s="47"/>
      <c r="H421" s="48">
        <v>2009</v>
      </c>
      <c r="I421" s="55">
        <v>43709</v>
      </c>
      <c r="J421" s="49" t="s">
        <v>95</v>
      </c>
      <c r="K421" s="48">
        <v>2009</v>
      </c>
      <c r="L421" s="26" t="s">
        <v>1422</v>
      </c>
      <c r="M421" s="27">
        <v>45565</v>
      </c>
      <c r="N421" s="27">
        <f t="shared" si="22"/>
        <v>47391</v>
      </c>
      <c r="O421" s="27" t="str">
        <f>VLOOKUP(D421,'[1]PZ a UTZ'!$C$341:$H$464,5,FALSE)</f>
        <v>PZ 1784/09-E.49</v>
      </c>
      <c r="P421" s="27">
        <f>VLOOKUP(D421,'[1]PZ a UTZ'!$C$341:$H$464,6,FALSE)</f>
        <v>43738</v>
      </c>
      <c r="Q421" s="27">
        <f t="shared" si="25"/>
        <v>45565</v>
      </c>
      <c r="R421" s="242" t="s">
        <v>1601</v>
      </c>
      <c r="S421" s="258">
        <v>724214556</v>
      </c>
      <c r="T421" s="274" t="s">
        <v>950</v>
      </c>
    </row>
    <row r="422" spans="2:20" x14ac:dyDescent="0.25">
      <c r="B422" s="10">
        <v>421</v>
      </c>
      <c r="C422" s="57" t="s">
        <v>885</v>
      </c>
      <c r="D422" s="58" t="s">
        <v>1421</v>
      </c>
      <c r="E422" s="59" t="s">
        <v>94</v>
      </c>
      <c r="F422" s="60">
        <v>89.953000000000003</v>
      </c>
      <c r="G422" s="61" t="s">
        <v>1276</v>
      </c>
      <c r="H422" s="62">
        <v>2009</v>
      </c>
      <c r="I422" s="63">
        <v>43709</v>
      </c>
      <c r="J422" s="64" t="s">
        <v>95</v>
      </c>
      <c r="K422" s="62">
        <v>2009</v>
      </c>
      <c r="L422" s="66" t="s">
        <v>1423</v>
      </c>
      <c r="M422" s="67">
        <v>45565</v>
      </c>
      <c r="N422" s="67">
        <f t="shared" si="22"/>
        <v>47391</v>
      </c>
      <c r="O422" s="209"/>
      <c r="P422" s="209"/>
      <c r="Q422" s="209"/>
      <c r="R422" s="245" t="s">
        <v>1601</v>
      </c>
      <c r="S422" s="261">
        <v>724214556</v>
      </c>
      <c r="T422" s="275" t="s">
        <v>950</v>
      </c>
    </row>
    <row r="423" spans="2:20" x14ac:dyDescent="0.25">
      <c r="B423" s="10">
        <v>422</v>
      </c>
      <c r="C423" s="81" t="s">
        <v>190</v>
      </c>
      <c r="D423" s="22" t="s">
        <v>350</v>
      </c>
      <c r="E423" s="141" t="s">
        <v>311</v>
      </c>
      <c r="F423" s="206">
        <v>19.373000000000001</v>
      </c>
      <c r="G423" s="24" t="s">
        <v>1424</v>
      </c>
      <c r="H423" s="25">
        <v>2019</v>
      </c>
      <c r="I423" s="49">
        <v>43739</v>
      </c>
      <c r="J423" s="26" t="s">
        <v>49</v>
      </c>
      <c r="K423" s="86">
        <v>2019</v>
      </c>
      <c r="L423" s="26" t="s">
        <v>1425</v>
      </c>
      <c r="M423" s="27">
        <v>45569</v>
      </c>
      <c r="N423" s="27">
        <f t="shared" si="22"/>
        <v>47395</v>
      </c>
      <c r="O423" s="27" t="s">
        <v>1633</v>
      </c>
      <c r="P423" s="27">
        <v>43752</v>
      </c>
      <c r="Q423" s="27">
        <f>EDATE(P423,60)</f>
        <v>45579</v>
      </c>
      <c r="R423" s="242" t="s">
        <v>1507</v>
      </c>
      <c r="S423" s="258">
        <v>605523102</v>
      </c>
      <c r="T423" s="270" t="s">
        <v>1061</v>
      </c>
    </row>
    <row r="424" spans="2:20" x14ac:dyDescent="0.25">
      <c r="B424" s="10">
        <v>423</v>
      </c>
      <c r="C424" s="180" t="s">
        <v>14</v>
      </c>
      <c r="D424" s="22" t="s">
        <v>884</v>
      </c>
      <c r="E424" s="51" t="s">
        <v>311</v>
      </c>
      <c r="F424" s="54">
        <v>19.626000000000001</v>
      </c>
      <c r="G424" s="47"/>
      <c r="H424" s="48">
        <v>2019</v>
      </c>
      <c r="I424" s="49">
        <v>43739</v>
      </c>
      <c r="J424" s="49" t="s">
        <v>542</v>
      </c>
      <c r="K424" s="56">
        <v>2019</v>
      </c>
      <c r="L424" s="49" t="s">
        <v>1425</v>
      </c>
      <c r="M424" s="27">
        <v>45569</v>
      </c>
      <c r="N424" s="27">
        <f t="shared" si="22"/>
        <v>47395</v>
      </c>
      <c r="O424" s="27" t="s">
        <v>1634</v>
      </c>
      <c r="P424" s="27">
        <v>43749</v>
      </c>
      <c r="Q424" s="27">
        <f>EDATE(P424,60)</f>
        <v>45576</v>
      </c>
      <c r="R424" s="242" t="s">
        <v>1507</v>
      </c>
      <c r="S424" s="258">
        <v>605523102</v>
      </c>
      <c r="T424" s="290" t="s">
        <v>1680</v>
      </c>
    </row>
    <row r="425" spans="2:20" x14ac:dyDescent="0.25">
      <c r="B425" s="10">
        <v>424</v>
      </c>
      <c r="C425" s="194" t="s">
        <v>1289</v>
      </c>
      <c r="D425" s="101" t="s">
        <v>350</v>
      </c>
      <c r="E425" s="183" t="s">
        <v>311</v>
      </c>
      <c r="F425" s="103">
        <v>19.373000000000001</v>
      </c>
      <c r="G425" s="104" t="s">
        <v>1370</v>
      </c>
      <c r="H425" s="105">
        <v>2019</v>
      </c>
      <c r="I425" s="106">
        <v>43739</v>
      </c>
      <c r="J425" s="149"/>
      <c r="K425" s="150"/>
      <c r="L425" s="106" t="s">
        <v>709</v>
      </c>
      <c r="M425" s="108">
        <v>45569</v>
      </c>
      <c r="N425" s="108">
        <f t="shared" ref="N425:N441" si="26">EDATE(M425,60)</f>
        <v>47395</v>
      </c>
      <c r="O425" s="209"/>
      <c r="P425" s="209"/>
      <c r="Q425" s="209"/>
      <c r="R425" s="246" t="s">
        <v>1507</v>
      </c>
      <c r="S425" s="262">
        <v>605523102</v>
      </c>
      <c r="T425" s="299" t="s">
        <v>1680</v>
      </c>
    </row>
    <row r="426" spans="2:20" x14ac:dyDescent="0.25">
      <c r="B426" s="10">
        <v>425</v>
      </c>
      <c r="C426" s="81" t="s">
        <v>190</v>
      </c>
      <c r="D426" s="22" t="s">
        <v>325</v>
      </c>
      <c r="E426" s="141" t="s">
        <v>311</v>
      </c>
      <c r="F426" s="24">
        <v>13.391</v>
      </c>
      <c r="G426" s="24" t="s">
        <v>326</v>
      </c>
      <c r="H426" s="25">
        <v>2019</v>
      </c>
      <c r="I426" s="26">
        <v>43739</v>
      </c>
      <c r="J426" s="26" t="s">
        <v>49</v>
      </c>
      <c r="K426" s="86">
        <v>2019</v>
      </c>
      <c r="L426" s="26" t="s">
        <v>1426</v>
      </c>
      <c r="M426" s="27">
        <v>45574</v>
      </c>
      <c r="N426" s="27">
        <f t="shared" si="26"/>
        <v>47400</v>
      </c>
      <c r="O426" s="27" t="s">
        <v>1635</v>
      </c>
      <c r="P426" s="27">
        <v>43760</v>
      </c>
      <c r="Q426" s="27">
        <f t="shared" ref="Q426:Q441" si="27">EDATE(P426,60)</f>
        <v>45587</v>
      </c>
      <c r="R426" s="242" t="s">
        <v>1507</v>
      </c>
      <c r="S426" s="258">
        <v>605523102</v>
      </c>
      <c r="T426" s="270" t="s">
        <v>1051</v>
      </c>
    </row>
    <row r="427" spans="2:20" x14ac:dyDescent="0.25">
      <c r="B427" s="10">
        <v>426</v>
      </c>
      <c r="C427" s="81" t="s">
        <v>190</v>
      </c>
      <c r="D427" s="22" t="s">
        <v>325</v>
      </c>
      <c r="E427" s="141" t="s">
        <v>311</v>
      </c>
      <c r="F427" s="24">
        <v>13.852</v>
      </c>
      <c r="G427" s="24" t="s">
        <v>327</v>
      </c>
      <c r="H427" s="25">
        <v>2019</v>
      </c>
      <c r="I427" s="26">
        <v>43739</v>
      </c>
      <c r="J427" s="26" t="s">
        <v>49</v>
      </c>
      <c r="K427" s="86">
        <v>2019</v>
      </c>
      <c r="L427" s="26" t="s">
        <v>1427</v>
      </c>
      <c r="M427" s="27">
        <v>45574</v>
      </c>
      <c r="N427" s="27">
        <f t="shared" si="26"/>
        <v>47400</v>
      </c>
      <c r="O427" s="27" t="s">
        <v>1636</v>
      </c>
      <c r="P427" s="27">
        <v>43760</v>
      </c>
      <c r="Q427" s="27">
        <f t="shared" si="27"/>
        <v>45587</v>
      </c>
      <c r="R427" s="242" t="s">
        <v>1507</v>
      </c>
      <c r="S427" s="258">
        <v>605523102</v>
      </c>
      <c r="T427" s="270" t="s">
        <v>1052</v>
      </c>
    </row>
    <row r="428" spans="2:20" x14ac:dyDescent="0.25">
      <c r="B428" s="10">
        <v>427</v>
      </c>
      <c r="C428" s="71" t="s">
        <v>190</v>
      </c>
      <c r="D428" s="207" t="s">
        <v>698</v>
      </c>
      <c r="E428" s="72" t="s">
        <v>112</v>
      </c>
      <c r="F428" s="73">
        <v>36.838000000000001</v>
      </c>
      <c r="G428" s="73" t="s">
        <v>701</v>
      </c>
      <c r="H428" s="95">
        <v>1976</v>
      </c>
      <c r="I428" s="35">
        <v>44287</v>
      </c>
      <c r="J428" s="44" t="s">
        <v>49</v>
      </c>
      <c r="K428" s="89">
        <v>2024</v>
      </c>
      <c r="L428" s="35" t="s">
        <v>917</v>
      </c>
      <c r="M428" s="37">
        <v>45574</v>
      </c>
      <c r="N428" s="37">
        <f t="shared" si="26"/>
        <v>47400</v>
      </c>
      <c r="O428" s="37" t="str">
        <f>VLOOKUP(F428,'[1]PZ a UTZ'!$E$2:$H$335,3,FALSE)</f>
        <v>PZ 10313/96-E.49</v>
      </c>
      <c r="P428" s="37">
        <f>VLOOKUP(F428,'[1]PZ a UTZ'!$E$2:$H$335,4,FALSE)</f>
        <v>44316</v>
      </c>
      <c r="Q428" s="37">
        <f t="shared" si="27"/>
        <v>46142</v>
      </c>
      <c r="R428" s="243" t="s">
        <v>1524</v>
      </c>
      <c r="S428" s="259">
        <v>602668276</v>
      </c>
      <c r="T428" s="278" t="s">
        <v>1193</v>
      </c>
    </row>
    <row r="429" spans="2:20" x14ac:dyDescent="0.25">
      <c r="B429" s="10">
        <v>428</v>
      </c>
      <c r="C429" s="71" t="s">
        <v>190</v>
      </c>
      <c r="D429" s="30" t="s">
        <v>130</v>
      </c>
      <c r="E429" s="72" t="s">
        <v>112</v>
      </c>
      <c r="F429" s="73">
        <v>37.503999999999998</v>
      </c>
      <c r="G429" s="73" t="s">
        <v>702</v>
      </c>
      <c r="H429" s="89">
        <v>1977</v>
      </c>
      <c r="I429" s="35">
        <v>44287</v>
      </c>
      <c r="J429" s="44" t="s">
        <v>49</v>
      </c>
      <c r="K429" s="89">
        <v>2024</v>
      </c>
      <c r="L429" s="35" t="s">
        <v>917</v>
      </c>
      <c r="M429" s="37">
        <v>45574</v>
      </c>
      <c r="N429" s="37">
        <f t="shared" si="26"/>
        <v>47400</v>
      </c>
      <c r="O429" s="37" t="str">
        <f>VLOOKUP(F429,'[1]PZ a UTZ'!$E$2:$H$335,3,FALSE)</f>
        <v>PZ 10312/96-E.49</v>
      </c>
      <c r="P429" s="37">
        <f>VLOOKUP(F429,'[1]PZ a UTZ'!$E$2:$H$335,4,FALSE)</f>
        <v>44316</v>
      </c>
      <c r="Q429" s="37">
        <f t="shared" si="27"/>
        <v>46142</v>
      </c>
      <c r="R429" s="243" t="s">
        <v>1524</v>
      </c>
      <c r="S429" s="259">
        <v>602668276</v>
      </c>
      <c r="T429" s="278" t="s">
        <v>1194</v>
      </c>
    </row>
    <row r="430" spans="2:20" x14ac:dyDescent="0.25">
      <c r="B430" s="10">
        <v>429</v>
      </c>
      <c r="C430" s="71" t="s">
        <v>190</v>
      </c>
      <c r="D430" s="30" t="s">
        <v>130</v>
      </c>
      <c r="E430" s="72" t="s">
        <v>112</v>
      </c>
      <c r="F430" s="73">
        <v>38.927999999999997</v>
      </c>
      <c r="G430" s="73" t="s">
        <v>703</v>
      </c>
      <c r="H430" s="89">
        <v>2017</v>
      </c>
      <c r="I430" s="35">
        <v>44835</v>
      </c>
      <c r="J430" s="44" t="s">
        <v>49</v>
      </c>
      <c r="K430" s="89">
        <v>2024</v>
      </c>
      <c r="L430" s="35" t="s">
        <v>917</v>
      </c>
      <c r="M430" s="37">
        <v>45574</v>
      </c>
      <c r="N430" s="37">
        <f t="shared" si="26"/>
        <v>47400</v>
      </c>
      <c r="O430" s="37" t="str">
        <f>VLOOKUP(F430,'[1]PZ a UTZ'!$E$2:$H$335,3,FALSE)</f>
        <v>PZ 1426/17-E.49</v>
      </c>
      <c r="P430" s="37">
        <f>VLOOKUP(F430,'[1]PZ a UTZ'!$E$2:$H$335,4,FALSE)</f>
        <v>44812</v>
      </c>
      <c r="Q430" s="37">
        <f t="shared" si="27"/>
        <v>46638</v>
      </c>
      <c r="R430" s="243" t="s">
        <v>1524</v>
      </c>
      <c r="S430" s="259">
        <v>602668276</v>
      </c>
      <c r="T430" s="278" t="s">
        <v>1195</v>
      </c>
    </row>
    <row r="431" spans="2:20" x14ac:dyDescent="0.25">
      <c r="B431" s="10">
        <v>430</v>
      </c>
      <c r="C431" s="71" t="s">
        <v>190</v>
      </c>
      <c r="D431" s="30" t="s">
        <v>130</v>
      </c>
      <c r="E431" s="72" t="s">
        <v>112</v>
      </c>
      <c r="F431" s="73">
        <v>39.853000000000002</v>
      </c>
      <c r="G431" s="73" t="s">
        <v>704</v>
      </c>
      <c r="H431" s="89">
        <v>2017</v>
      </c>
      <c r="I431" s="35">
        <v>44835</v>
      </c>
      <c r="J431" s="44" t="s">
        <v>49</v>
      </c>
      <c r="K431" s="89">
        <v>2024</v>
      </c>
      <c r="L431" s="35" t="s">
        <v>917</v>
      </c>
      <c r="M431" s="37">
        <v>45574</v>
      </c>
      <c r="N431" s="37">
        <f t="shared" si="26"/>
        <v>47400</v>
      </c>
      <c r="O431" s="37" t="str">
        <f>VLOOKUP(F431,'[1]PZ a UTZ'!$E$2:$H$335,3,FALSE)</f>
        <v>PZ 1425/17-E.49</v>
      </c>
      <c r="P431" s="37">
        <f>VLOOKUP(F431,'[1]PZ a UTZ'!$E$2:$H$335,4,FALSE)</f>
        <v>44812</v>
      </c>
      <c r="Q431" s="37">
        <f t="shared" si="27"/>
        <v>46638</v>
      </c>
      <c r="R431" s="243" t="s">
        <v>1524</v>
      </c>
      <c r="S431" s="259">
        <v>602668276</v>
      </c>
      <c r="T431" s="278" t="s">
        <v>1196</v>
      </c>
    </row>
    <row r="432" spans="2:20" x14ac:dyDescent="0.25">
      <c r="B432" s="10">
        <v>431</v>
      </c>
      <c r="C432" s="71" t="s">
        <v>190</v>
      </c>
      <c r="D432" s="30" t="s">
        <v>130</v>
      </c>
      <c r="E432" s="72" t="s">
        <v>112</v>
      </c>
      <c r="F432" s="73">
        <v>40.738</v>
      </c>
      <c r="G432" s="73" t="s">
        <v>705</v>
      </c>
      <c r="H432" s="89">
        <v>1976</v>
      </c>
      <c r="I432" s="35">
        <v>44287</v>
      </c>
      <c r="J432" s="44" t="s">
        <v>1428</v>
      </c>
      <c r="K432" s="89">
        <v>2024</v>
      </c>
      <c r="L432" s="35" t="s">
        <v>917</v>
      </c>
      <c r="M432" s="37">
        <v>45574</v>
      </c>
      <c r="N432" s="37">
        <f t="shared" si="26"/>
        <v>47400</v>
      </c>
      <c r="O432" s="37" t="str">
        <f>VLOOKUP(F432,'[1]PZ a UTZ'!$E$2:$H$335,3,FALSE)</f>
        <v>PZ 10156/96-E.49</v>
      </c>
      <c r="P432" s="37">
        <f>VLOOKUP(F432,'[1]PZ a UTZ'!$E$2:$H$335,4,FALSE)</f>
        <v>44316</v>
      </c>
      <c r="Q432" s="37">
        <f t="shared" si="27"/>
        <v>46142</v>
      </c>
      <c r="R432" s="243" t="s">
        <v>1487</v>
      </c>
      <c r="S432" s="259">
        <v>725339123</v>
      </c>
      <c r="T432" s="278" t="s">
        <v>1197</v>
      </c>
    </row>
    <row r="433" spans="2:20" x14ac:dyDescent="0.25">
      <c r="B433" s="10">
        <v>432</v>
      </c>
      <c r="C433" s="71" t="s">
        <v>190</v>
      </c>
      <c r="D433" s="30" t="s">
        <v>130</v>
      </c>
      <c r="E433" s="72" t="s">
        <v>112</v>
      </c>
      <c r="F433" s="73">
        <v>41.192999999999998</v>
      </c>
      <c r="G433" s="73" t="s">
        <v>706</v>
      </c>
      <c r="H433" s="95">
        <v>2024</v>
      </c>
      <c r="I433" s="44">
        <v>45292</v>
      </c>
      <c r="J433" s="44" t="s">
        <v>1428</v>
      </c>
      <c r="K433" s="89">
        <v>2024</v>
      </c>
      <c r="L433" s="35" t="s">
        <v>917</v>
      </c>
      <c r="M433" s="37">
        <v>45574</v>
      </c>
      <c r="N433" s="37">
        <f t="shared" si="26"/>
        <v>47400</v>
      </c>
      <c r="O433" s="37" t="s">
        <v>1637</v>
      </c>
      <c r="P433" s="37">
        <f>VLOOKUP(F433,'[1]PZ a UTZ'!$E$2:$H$335,4,FALSE)</f>
        <v>44316</v>
      </c>
      <c r="Q433" s="37">
        <f t="shared" si="27"/>
        <v>46142</v>
      </c>
      <c r="R433" s="243" t="s">
        <v>1524</v>
      </c>
      <c r="S433" s="259">
        <v>602668276</v>
      </c>
      <c r="T433" s="278" t="s">
        <v>1198</v>
      </c>
    </row>
    <row r="434" spans="2:20" x14ac:dyDescent="0.25">
      <c r="B434" s="10">
        <v>433</v>
      </c>
      <c r="C434" s="71" t="s">
        <v>190</v>
      </c>
      <c r="D434" s="30" t="s">
        <v>131</v>
      </c>
      <c r="E434" s="72" t="s">
        <v>112</v>
      </c>
      <c r="F434" s="73">
        <v>43.369</v>
      </c>
      <c r="G434" s="73" t="s">
        <v>707</v>
      </c>
      <c r="H434" s="95">
        <v>2024</v>
      </c>
      <c r="I434" s="44">
        <v>45292</v>
      </c>
      <c r="J434" s="44" t="s">
        <v>1428</v>
      </c>
      <c r="K434" s="89">
        <v>2024</v>
      </c>
      <c r="L434" s="35" t="s">
        <v>917</v>
      </c>
      <c r="M434" s="37">
        <v>45574</v>
      </c>
      <c r="N434" s="37">
        <f t="shared" si="26"/>
        <v>47400</v>
      </c>
      <c r="O434" s="37" t="str">
        <f>VLOOKUP(F434,'[1]PZ a UTZ'!$E$2:$H$335,3,FALSE)</f>
        <v>PZ 10315/96-E.49</v>
      </c>
      <c r="P434" s="37">
        <f>VLOOKUP(F434,'[1]PZ a UTZ'!$E$2:$H$335,4,FALSE)</f>
        <v>44316</v>
      </c>
      <c r="Q434" s="37">
        <f t="shared" si="27"/>
        <v>46142</v>
      </c>
      <c r="R434" s="243" t="s">
        <v>1524</v>
      </c>
      <c r="S434" s="259">
        <v>602668276</v>
      </c>
      <c r="T434" s="278" t="s">
        <v>1199</v>
      </c>
    </row>
    <row r="435" spans="2:20" x14ac:dyDescent="0.25">
      <c r="B435" s="10">
        <v>434</v>
      </c>
      <c r="C435" s="71" t="s">
        <v>190</v>
      </c>
      <c r="D435" s="30" t="s">
        <v>131</v>
      </c>
      <c r="E435" s="72" t="s">
        <v>112</v>
      </c>
      <c r="F435" s="73">
        <v>43.529000000000003</v>
      </c>
      <c r="G435" s="73" t="s">
        <v>708</v>
      </c>
      <c r="H435" s="95">
        <v>2024</v>
      </c>
      <c r="I435" s="44">
        <v>45292</v>
      </c>
      <c r="J435" s="44" t="s">
        <v>1428</v>
      </c>
      <c r="K435" s="89">
        <v>2024</v>
      </c>
      <c r="L435" s="35" t="s">
        <v>917</v>
      </c>
      <c r="M435" s="37">
        <v>45574</v>
      </c>
      <c r="N435" s="37">
        <f t="shared" si="26"/>
        <v>47400</v>
      </c>
      <c r="O435" s="37" t="str">
        <f>VLOOKUP(F435,'[1]PZ a UTZ'!$E$2:$H$335,3,FALSE)</f>
        <v>PZ 10316/96-E.49</v>
      </c>
      <c r="P435" s="37">
        <f>VLOOKUP(F435,'[1]PZ a UTZ'!$E$2:$H$335,4,FALSE)</f>
        <v>44316</v>
      </c>
      <c r="Q435" s="37">
        <f t="shared" si="27"/>
        <v>46142</v>
      </c>
      <c r="R435" s="243" t="s">
        <v>1524</v>
      </c>
      <c r="S435" s="259">
        <v>602668276</v>
      </c>
      <c r="T435" s="278" t="s">
        <v>1200</v>
      </c>
    </row>
    <row r="436" spans="2:20" x14ac:dyDescent="0.25">
      <c r="B436" s="10">
        <v>435</v>
      </c>
      <c r="C436" s="71" t="s">
        <v>190</v>
      </c>
      <c r="D436" s="30" t="s">
        <v>131</v>
      </c>
      <c r="E436" s="72" t="s">
        <v>112</v>
      </c>
      <c r="F436" s="73">
        <v>44.057000000000002</v>
      </c>
      <c r="G436" s="73" t="s">
        <v>710</v>
      </c>
      <c r="H436" s="95">
        <v>1976</v>
      </c>
      <c r="I436" s="35">
        <v>43922</v>
      </c>
      <c r="J436" s="44" t="s">
        <v>1428</v>
      </c>
      <c r="K436" s="89">
        <v>2024</v>
      </c>
      <c r="L436" s="35" t="s">
        <v>917</v>
      </c>
      <c r="M436" s="37">
        <v>45574</v>
      </c>
      <c r="N436" s="37">
        <f t="shared" si="26"/>
        <v>47400</v>
      </c>
      <c r="O436" s="37" t="str">
        <f>VLOOKUP(F436,'[1]PZ a UTZ'!$E$2:$H$335,3,FALSE)</f>
        <v>PZ 10157/96-E.49</v>
      </c>
      <c r="P436" s="37">
        <f>VLOOKUP(F436,'[1]PZ a UTZ'!$E$2:$H$335,4,FALSE)</f>
        <v>43843</v>
      </c>
      <c r="Q436" s="37">
        <f t="shared" si="27"/>
        <v>45670</v>
      </c>
      <c r="R436" s="243" t="s">
        <v>1487</v>
      </c>
      <c r="S436" s="259">
        <v>725339123</v>
      </c>
      <c r="T436" s="278" t="s">
        <v>1201</v>
      </c>
    </row>
    <row r="437" spans="2:20" x14ac:dyDescent="0.25">
      <c r="B437" s="10">
        <v>436</v>
      </c>
      <c r="C437" s="71" t="s">
        <v>190</v>
      </c>
      <c r="D437" s="30" t="s">
        <v>131</v>
      </c>
      <c r="E437" s="72" t="s">
        <v>112</v>
      </c>
      <c r="F437" s="73">
        <v>44.741999999999997</v>
      </c>
      <c r="G437" s="73" t="s">
        <v>711</v>
      </c>
      <c r="H437" s="95">
        <v>1983</v>
      </c>
      <c r="I437" s="35">
        <v>44317</v>
      </c>
      <c r="J437" s="44" t="s">
        <v>1428</v>
      </c>
      <c r="K437" s="89">
        <v>2024</v>
      </c>
      <c r="L437" s="35" t="s">
        <v>917</v>
      </c>
      <c r="M437" s="37">
        <v>45574</v>
      </c>
      <c r="N437" s="37">
        <f t="shared" si="26"/>
        <v>47400</v>
      </c>
      <c r="O437" s="37" t="str">
        <f>VLOOKUP(F437,'[1]PZ a UTZ'!$E$2:$H$335,3,FALSE)</f>
        <v>PZ 10158/96-E.49</v>
      </c>
      <c r="P437" s="37">
        <f>VLOOKUP(F437,'[1]PZ a UTZ'!$E$2:$H$335,4,FALSE)</f>
        <v>44126</v>
      </c>
      <c r="Q437" s="37">
        <f t="shared" si="27"/>
        <v>45952</v>
      </c>
      <c r="R437" s="243" t="s">
        <v>1524</v>
      </c>
      <c r="S437" s="259">
        <v>602668276</v>
      </c>
      <c r="T437" s="278" t="s">
        <v>1202</v>
      </c>
    </row>
    <row r="438" spans="2:20" x14ac:dyDescent="0.25">
      <c r="B438" s="10">
        <v>437</v>
      </c>
      <c r="C438" s="71" t="s">
        <v>190</v>
      </c>
      <c r="D438" s="30" t="s">
        <v>131</v>
      </c>
      <c r="E438" s="72" t="s">
        <v>112</v>
      </c>
      <c r="F438" s="73">
        <v>45.695999999999998</v>
      </c>
      <c r="G438" s="73" t="s">
        <v>712</v>
      </c>
      <c r="H438" s="89">
        <v>2020</v>
      </c>
      <c r="I438" s="208">
        <v>44166</v>
      </c>
      <c r="J438" s="44" t="s">
        <v>1428</v>
      </c>
      <c r="K438" s="89">
        <v>2024</v>
      </c>
      <c r="L438" s="35" t="s">
        <v>917</v>
      </c>
      <c r="M438" s="37">
        <v>45574</v>
      </c>
      <c r="N438" s="37">
        <f t="shared" si="26"/>
        <v>47400</v>
      </c>
      <c r="O438" s="37" t="str">
        <f>VLOOKUP(F438,'[1]PZ a UTZ'!$E$2:$H$335,3,FALSE)</f>
        <v>PZ 1436/20-E.49</v>
      </c>
      <c r="P438" s="37">
        <f>VLOOKUP(F438,'[1]PZ a UTZ'!$E$2:$H$335,4,FALSE)</f>
        <v>44172</v>
      </c>
      <c r="Q438" s="37">
        <f t="shared" si="27"/>
        <v>45998</v>
      </c>
      <c r="R438" s="243" t="s">
        <v>1524</v>
      </c>
      <c r="S438" s="259">
        <v>602668276</v>
      </c>
      <c r="T438" s="278" t="s">
        <v>1203</v>
      </c>
    </row>
    <row r="439" spans="2:20" x14ac:dyDescent="0.25">
      <c r="B439" s="10">
        <v>438</v>
      </c>
      <c r="C439" s="161" t="s">
        <v>164</v>
      </c>
      <c r="D439" s="22" t="s">
        <v>175</v>
      </c>
      <c r="E439" s="46" t="s">
        <v>63</v>
      </c>
      <c r="F439" s="54">
        <v>134.95699999999999</v>
      </c>
      <c r="G439" s="47"/>
      <c r="H439" s="48">
        <v>1986</v>
      </c>
      <c r="I439" s="49">
        <v>43739</v>
      </c>
      <c r="J439" s="49" t="s">
        <v>70</v>
      </c>
      <c r="K439" s="56">
        <v>1989</v>
      </c>
      <c r="L439" s="49" t="s">
        <v>1429</v>
      </c>
      <c r="M439" s="27">
        <v>45580</v>
      </c>
      <c r="N439" s="27">
        <f t="shared" si="26"/>
        <v>47406</v>
      </c>
      <c r="O439" s="27" t="s">
        <v>1638</v>
      </c>
      <c r="P439" s="27">
        <v>44396</v>
      </c>
      <c r="Q439" s="27">
        <f t="shared" si="27"/>
        <v>46222</v>
      </c>
      <c r="R439" s="242" t="s">
        <v>1639</v>
      </c>
      <c r="S439" s="258">
        <v>607064526</v>
      </c>
      <c r="T439" s="274" t="s">
        <v>989</v>
      </c>
    </row>
    <row r="440" spans="2:20" x14ac:dyDescent="0.25">
      <c r="B440" s="10">
        <v>439</v>
      </c>
      <c r="C440" s="119" t="s">
        <v>14</v>
      </c>
      <c r="D440" s="30" t="s">
        <v>131</v>
      </c>
      <c r="E440" s="72" t="s">
        <v>112</v>
      </c>
      <c r="F440" s="182">
        <v>45.326000000000001</v>
      </c>
      <c r="G440" s="73"/>
      <c r="H440" s="89">
        <v>1965</v>
      </c>
      <c r="I440" s="44">
        <v>44075</v>
      </c>
      <c r="J440" s="44" t="s">
        <v>17</v>
      </c>
      <c r="K440" s="36">
        <v>2024</v>
      </c>
      <c r="L440" s="44" t="s">
        <v>917</v>
      </c>
      <c r="M440" s="74">
        <v>45580</v>
      </c>
      <c r="N440" s="74">
        <f t="shared" si="26"/>
        <v>47406</v>
      </c>
      <c r="O440" s="37" t="str">
        <f>VLOOKUP(D440,'[1]PZ a UTZ'!$C$341:$H$464,5,FALSE)</f>
        <v>PZ 10141/96-E.49</v>
      </c>
      <c r="P440" s="37">
        <f>VLOOKUP(D440,'[1]PZ a UTZ'!$C$341:$H$464,6,FALSE)</f>
        <v>44126</v>
      </c>
      <c r="Q440" s="37">
        <f t="shared" si="27"/>
        <v>45952</v>
      </c>
      <c r="R440" s="243" t="s">
        <v>1497</v>
      </c>
      <c r="S440" s="259">
        <v>724862430</v>
      </c>
      <c r="T440" s="278" t="s">
        <v>967</v>
      </c>
    </row>
    <row r="441" spans="2:20" x14ac:dyDescent="0.25">
      <c r="B441" s="10">
        <v>440</v>
      </c>
      <c r="C441" s="119" t="s">
        <v>14</v>
      </c>
      <c r="D441" s="30" t="s">
        <v>130</v>
      </c>
      <c r="E441" s="72" t="s">
        <v>112</v>
      </c>
      <c r="F441" s="182">
        <v>39.631</v>
      </c>
      <c r="G441" s="73"/>
      <c r="H441" s="89">
        <v>1967</v>
      </c>
      <c r="I441" s="44">
        <v>44958</v>
      </c>
      <c r="J441" s="44" t="s">
        <v>17</v>
      </c>
      <c r="K441" s="89">
        <v>2024</v>
      </c>
      <c r="L441" s="35" t="s">
        <v>917</v>
      </c>
      <c r="M441" s="37">
        <v>45580</v>
      </c>
      <c r="N441" s="37">
        <f t="shared" si="26"/>
        <v>47406</v>
      </c>
      <c r="O441" s="37" t="str">
        <f>VLOOKUP(D441,'[1]PZ a UTZ'!$C$341:$H$464,5,FALSE)</f>
        <v>PZ 10140/96-E.49</v>
      </c>
      <c r="P441" s="37">
        <f>VLOOKUP(D441,'[1]PZ a UTZ'!$C$341:$H$464,6,FALSE)</f>
        <v>44126</v>
      </c>
      <c r="Q441" s="37">
        <f t="shared" si="27"/>
        <v>45952</v>
      </c>
      <c r="R441" s="243" t="s">
        <v>1524</v>
      </c>
      <c r="S441" s="259">
        <v>602668276</v>
      </c>
      <c r="T441" s="278" t="s">
        <v>966</v>
      </c>
    </row>
    <row r="442" spans="2:20" x14ac:dyDescent="0.25">
      <c r="B442" s="10">
        <v>441</v>
      </c>
      <c r="C442" s="57" t="s">
        <v>885</v>
      </c>
      <c r="D442" s="58" t="s">
        <v>98</v>
      </c>
      <c r="E442" s="59" t="s">
        <v>94</v>
      </c>
      <c r="F442" s="60">
        <v>72.444999999999993</v>
      </c>
      <c r="G442" s="61" t="s">
        <v>1276</v>
      </c>
      <c r="H442" s="62">
        <v>2009</v>
      </c>
      <c r="I442" s="64">
        <v>43739</v>
      </c>
      <c r="J442" s="64" t="s">
        <v>95</v>
      </c>
      <c r="K442" s="62">
        <v>2009</v>
      </c>
      <c r="L442" s="64" t="s">
        <v>898</v>
      </c>
      <c r="M442" s="67">
        <v>43759</v>
      </c>
      <c r="N442" s="209"/>
      <c r="O442" s="209"/>
      <c r="P442" s="209"/>
      <c r="Q442" s="209"/>
      <c r="R442" s="245" t="s">
        <v>1491</v>
      </c>
      <c r="S442" s="261">
        <v>725582090</v>
      </c>
      <c r="T442" s="275" t="s">
        <v>953</v>
      </c>
    </row>
    <row r="443" spans="2:20" x14ac:dyDescent="0.25">
      <c r="B443" s="10">
        <v>442</v>
      </c>
      <c r="C443" s="53" t="s">
        <v>14</v>
      </c>
      <c r="D443" s="22" t="s">
        <v>98</v>
      </c>
      <c r="E443" s="46" t="s">
        <v>94</v>
      </c>
      <c r="F443" s="54">
        <v>72.444999999999993</v>
      </c>
      <c r="G443" s="47"/>
      <c r="H443" s="48">
        <v>2009</v>
      </c>
      <c r="I443" s="49">
        <v>43739</v>
      </c>
      <c r="J443" s="49" t="s">
        <v>95</v>
      </c>
      <c r="K443" s="48">
        <v>2009</v>
      </c>
      <c r="L443" s="49" t="s">
        <v>1430</v>
      </c>
      <c r="M443" s="27">
        <v>45586</v>
      </c>
      <c r="N443" s="27">
        <f t="shared" ref="N443:N450" si="28">EDATE(M443,60)</f>
        <v>47412</v>
      </c>
      <c r="O443" s="27" t="str">
        <f>VLOOKUP(D443,'[1]PZ a UTZ'!$C$341:$H$464,5,FALSE)</f>
        <v>PZ 1782/09-E.49</v>
      </c>
      <c r="P443" s="27">
        <f>VLOOKUP(D443,'[1]PZ a UTZ'!$C$341:$H$464,6,FALSE)</f>
        <v>43711</v>
      </c>
      <c r="Q443" s="27">
        <f>EDATE(P443,60)</f>
        <v>45538</v>
      </c>
      <c r="R443" s="242" t="s">
        <v>1491</v>
      </c>
      <c r="S443" s="258">
        <v>725582090</v>
      </c>
      <c r="T443" s="274" t="s">
        <v>953</v>
      </c>
    </row>
    <row r="444" spans="2:20" x14ac:dyDescent="0.25">
      <c r="B444" s="10">
        <v>443</v>
      </c>
      <c r="C444" s="57" t="s">
        <v>885</v>
      </c>
      <c r="D444" s="58" t="s">
        <v>99</v>
      </c>
      <c r="E444" s="59" t="s">
        <v>94</v>
      </c>
      <c r="F444" s="60">
        <v>59.716000000000001</v>
      </c>
      <c r="G444" s="61" t="s">
        <v>1276</v>
      </c>
      <c r="H444" s="62">
        <v>2009</v>
      </c>
      <c r="I444" s="64">
        <v>43739</v>
      </c>
      <c r="J444" s="64" t="s">
        <v>95</v>
      </c>
      <c r="K444" s="62">
        <v>2009</v>
      </c>
      <c r="L444" s="64" t="s">
        <v>1431</v>
      </c>
      <c r="M444" s="67">
        <v>45587</v>
      </c>
      <c r="N444" s="67">
        <f t="shared" si="28"/>
        <v>47413</v>
      </c>
      <c r="O444" s="209"/>
      <c r="P444" s="209"/>
      <c r="Q444" s="209"/>
      <c r="R444" s="245" t="s">
        <v>1601</v>
      </c>
      <c r="S444" s="261">
        <v>724214556</v>
      </c>
      <c r="T444" s="275" t="s">
        <v>954</v>
      </c>
    </row>
    <row r="445" spans="2:20" x14ac:dyDescent="0.25">
      <c r="B445" s="10">
        <v>444</v>
      </c>
      <c r="C445" s="53" t="s">
        <v>14</v>
      </c>
      <c r="D445" s="22" t="s">
        <v>1432</v>
      </c>
      <c r="E445" s="46" t="s">
        <v>94</v>
      </c>
      <c r="F445" s="54">
        <v>59.716000000000001</v>
      </c>
      <c r="G445" s="47"/>
      <c r="H445" s="48">
        <v>2009</v>
      </c>
      <c r="I445" s="49">
        <v>43739</v>
      </c>
      <c r="J445" s="49" t="s">
        <v>95</v>
      </c>
      <c r="K445" s="48">
        <v>2009</v>
      </c>
      <c r="L445" s="49" t="s">
        <v>1433</v>
      </c>
      <c r="M445" s="27">
        <v>45587</v>
      </c>
      <c r="N445" s="27">
        <f t="shared" si="28"/>
        <v>47413</v>
      </c>
      <c r="O445" s="27" t="str">
        <f>VLOOKUP(D445,'[1]PZ a UTZ'!$C$341:$H$464,5,FALSE)</f>
        <v>PZ 1781/09-E.49</v>
      </c>
      <c r="P445" s="27">
        <f>VLOOKUP(D445,'[1]PZ a UTZ'!$C$341:$H$464,6,FALSE)</f>
        <v>43706</v>
      </c>
      <c r="Q445" s="27">
        <f>EDATE(P445,60)</f>
        <v>45533</v>
      </c>
      <c r="R445" s="242" t="s">
        <v>1601</v>
      </c>
      <c r="S445" s="258">
        <v>724214556</v>
      </c>
      <c r="T445" s="274" t="s">
        <v>954</v>
      </c>
    </row>
    <row r="446" spans="2:20" x14ac:dyDescent="0.25">
      <c r="B446" s="10">
        <v>445</v>
      </c>
      <c r="C446" s="178" t="s">
        <v>14</v>
      </c>
      <c r="D446" s="22" t="s">
        <v>27</v>
      </c>
      <c r="E446" s="123" t="s">
        <v>25</v>
      </c>
      <c r="F446" s="124">
        <v>10.401999999999999</v>
      </c>
      <c r="G446" s="125"/>
      <c r="H446" s="126">
        <v>2006</v>
      </c>
      <c r="I446" s="49">
        <v>43739</v>
      </c>
      <c r="J446" s="49" t="s">
        <v>17</v>
      </c>
      <c r="K446" s="126">
        <v>2006</v>
      </c>
      <c r="L446" s="49" t="s">
        <v>1434</v>
      </c>
      <c r="M446" s="27">
        <v>45595</v>
      </c>
      <c r="N446" s="27">
        <f t="shared" si="28"/>
        <v>47421</v>
      </c>
      <c r="O446" s="27" t="str">
        <f>VLOOKUP(D446,'[1]PZ a UTZ'!$C$341:$H$464,5,FALSE)</f>
        <v>PZ 0594/06-E.49</v>
      </c>
      <c r="P446" s="27">
        <f>VLOOKUP(D446,'[1]PZ a UTZ'!$C$341:$H$464,6,FALSE)</f>
        <v>44415</v>
      </c>
      <c r="Q446" s="27">
        <f>EDATE(P446,60)</f>
        <v>46241</v>
      </c>
      <c r="R446" s="242" t="s">
        <v>1494</v>
      </c>
      <c r="S446" s="258">
        <v>602117762</v>
      </c>
      <c r="T446" s="291" t="s">
        <v>928</v>
      </c>
    </row>
    <row r="447" spans="2:20" x14ac:dyDescent="0.25">
      <c r="B447" s="10">
        <v>446</v>
      </c>
      <c r="C447" s="133" t="s">
        <v>1289</v>
      </c>
      <c r="D447" s="101" t="s">
        <v>27</v>
      </c>
      <c r="E447" s="120" t="s">
        <v>25</v>
      </c>
      <c r="F447" s="121">
        <v>10.401999999999999</v>
      </c>
      <c r="G447" s="122"/>
      <c r="H447" s="134">
        <v>2006</v>
      </c>
      <c r="I447" s="106">
        <v>43739</v>
      </c>
      <c r="J447" s="135" t="s">
        <v>657</v>
      </c>
      <c r="K447" s="134">
        <v>2006</v>
      </c>
      <c r="L447" s="106" t="s">
        <v>1435</v>
      </c>
      <c r="M447" s="108">
        <v>45596</v>
      </c>
      <c r="N447" s="108">
        <f t="shared" si="28"/>
        <v>47422</v>
      </c>
      <c r="O447" s="249"/>
      <c r="P447" s="249"/>
      <c r="Q447" s="249"/>
      <c r="R447" s="246" t="s">
        <v>1494</v>
      </c>
      <c r="S447" s="262">
        <v>602117762</v>
      </c>
      <c r="T447" s="288" t="s">
        <v>928</v>
      </c>
    </row>
    <row r="448" spans="2:20" x14ac:dyDescent="0.25">
      <c r="B448" s="10">
        <v>447</v>
      </c>
      <c r="C448" s="45" t="s">
        <v>190</v>
      </c>
      <c r="D448" s="22" t="s">
        <v>450</v>
      </c>
      <c r="E448" s="46" t="s">
        <v>63</v>
      </c>
      <c r="F448" s="47">
        <v>141.40299999999999</v>
      </c>
      <c r="G448" s="47" t="s">
        <v>451</v>
      </c>
      <c r="H448" s="56">
        <v>2011</v>
      </c>
      <c r="I448" s="49">
        <v>43770</v>
      </c>
      <c r="J448" s="49" t="s">
        <v>120</v>
      </c>
      <c r="K448" s="56">
        <v>2011</v>
      </c>
      <c r="L448" s="49" t="s">
        <v>1436</v>
      </c>
      <c r="M448" s="27">
        <v>45608</v>
      </c>
      <c r="N448" s="27">
        <f t="shared" si="28"/>
        <v>47434</v>
      </c>
      <c r="O448" s="27" t="str">
        <f>VLOOKUP(F448,'[1]PZ a UTZ'!$E$2:$H$335,3,FALSE)</f>
        <v>PZ 727/12-E.49</v>
      </c>
      <c r="P448" s="27">
        <f>VLOOKUP(F448,'[1]PZ a UTZ'!$E$2:$H$335,4,FALSE)</f>
        <v>44361</v>
      </c>
      <c r="Q448" s="27">
        <f>EDATE(P448,60)</f>
        <v>46187</v>
      </c>
      <c r="R448" s="242" t="s">
        <v>1639</v>
      </c>
      <c r="S448" s="258">
        <v>607064526</v>
      </c>
      <c r="T448" s="274" t="s">
        <v>1100</v>
      </c>
    </row>
    <row r="449" spans="2:20" x14ac:dyDescent="0.25">
      <c r="B449" s="10">
        <v>448</v>
      </c>
      <c r="C449" s="90" t="s">
        <v>90</v>
      </c>
      <c r="D449" s="22" t="s">
        <v>73</v>
      </c>
      <c r="E449" s="46" t="s">
        <v>63</v>
      </c>
      <c r="F449" s="54">
        <v>142.53399999999999</v>
      </c>
      <c r="G449" s="47" t="s">
        <v>1437</v>
      </c>
      <c r="H449" s="48">
        <v>1964</v>
      </c>
      <c r="I449" s="49">
        <v>43770</v>
      </c>
      <c r="J449" s="49" t="s">
        <v>74</v>
      </c>
      <c r="K449" s="56">
        <v>2012</v>
      </c>
      <c r="L449" s="49" t="s">
        <v>1438</v>
      </c>
      <c r="M449" s="27">
        <v>45608</v>
      </c>
      <c r="N449" s="27">
        <f t="shared" si="28"/>
        <v>47434</v>
      </c>
      <c r="O449" s="27" t="s">
        <v>1640</v>
      </c>
      <c r="P449" s="27">
        <v>44361</v>
      </c>
      <c r="Q449" s="27">
        <f>EDATE(P449,60)</f>
        <v>46187</v>
      </c>
      <c r="R449" s="242" t="s">
        <v>1639</v>
      </c>
      <c r="S449" s="258">
        <v>607064526</v>
      </c>
      <c r="T449" s="274" t="s">
        <v>943</v>
      </c>
    </row>
    <row r="450" spans="2:20" x14ac:dyDescent="0.25">
      <c r="B450" s="10">
        <v>449</v>
      </c>
      <c r="C450" s="100" t="s">
        <v>1289</v>
      </c>
      <c r="D450" s="101" t="s">
        <v>73</v>
      </c>
      <c r="E450" s="102" t="s">
        <v>63</v>
      </c>
      <c r="F450" s="103">
        <v>142.53399999999999</v>
      </c>
      <c r="G450" s="104"/>
      <c r="H450" s="105">
        <v>1964</v>
      </c>
      <c r="I450" s="106">
        <v>43770</v>
      </c>
      <c r="J450" s="106" t="s">
        <v>120</v>
      </c>
      <c r="K450" s="107">
        <v>2012</v>
      </c>
      <c r="L450" s="106" t="s">
        <v>1439</v>
      </c>
      <c r="M450" s="108">
        <v>45608</v>
      </c>
      <c r="N450" s="108">
        <f t="shared" si="28"/>
        <v>47434</v>
      </c>
      <c r="O450" s="209"/>
      <c r="P450" s="209"/>
      <c r="Q450" s="209"/>
      <c r="R450" s="246" t="s">
        <v>1639</v>
      </c>
      <c r="S450" s="262">
        <v>607064526</v>
      </c>
      <c r="T450" s="283" t="s">
        <v>943</v>
      </c>
    </row>
    <row r="451" spans="2:20" x14ac:dyDescent="0.25">
      <c r="B451" s="10">
        <v>450</v>
      </c>
      <c r="C451" s="119" t="s">
        <v>72</v>
      </c>
      <c r="D451" s="30" t="s">
        <v>38</v>
      </c>
      <c r="E451" s="72" t="s">
        <v>39</v>
      </c>
      <c r="F451" s="182">
        <v>345.47699999999998</v>
      </c>
      <c r="G451" s="73"/>
      <c r="H451" s="89">
        <v>2022</v>
      </c>
      <c r="I451" s="44">
        <v>43770</v>
      </c>
      <c r="J451" s="36" t="s">
        <v>17</v>
      </c>
      <c r="K451" s="36">
        <v>2022</v>
      </c>
      <c r="L451" s="96" t="s">
        <v>41</v>
      </c>
      <c r="M451" s="97">
        <v>43782</v>
      </c>
      <c r="N451" s="37">
        <v>46483</v>
      </c>
      <c r="O451" s="37" t="str">
        <f>VLOOKUP(D451,'[1]PZ a UTZ'!$C$341:$H$464,5,FALSE)</f>
        <v>PZ 0751/22-E.49</v>
      </c>
      <c r="P451" s="37">
        <f>VLOOKUP(D451,'[1]PZ a UTZ'!$C$341:$H$464,6,FALSE)</f>
        <v>44665</v>
      </c>
      <c r="Q451" s="37">
        <f t="shared" ref="Q451:Q456" si="29">EDATE(P451,60)</f>
        <v>46491</v>
      </c>
      <c r="R451" s="243" t="s">
        <v>1511</v>
      </c>
      <c r="S451" s="259">
        <v>603418035</v>
      </c>
      <c r="T451" s="278" t="s">
        <v>1681</v>
      </c>
    </row>
    <row r="452" spans="2:20" x14ac:dyDescent="0.25">
      <c r="B452" s="10">
        <v>451</v>
      </c>
      <c r="C452" s="53" t="s">
        <v>72</v>
      </c>
      <c r="D452" s="128" t="s">
        <v>1440</v>
      </c>
      <c r="E452" s="200" t="s">
        <v>39</v>
      </c>
      <c r="F452" s="69">
        <v>345.47699999999998</v>
      </c>
      <c r="G452" s="24" t="s">
        <v>1347</v>
      </c>
      <c r="H452" s="25">
        <v>2014</v>
      </c>
      <c r="I452" s="49">
        <v>43770</v>
      </c>
      <c r="J452" s="26" t="s">
        <v>40</v>
      </c>
      <c r="K452" s="48">
        <v>2014</v>
      </c>
      <c r="L452" s="49" t="s">
        <v>1441</v>
      </c>
      <c r="M452" s="27">
        <v>45609</v>
      </c>
      <c r="N452" s="27">
        <f t="shared" ref="N452:N462" si="30">EDATE(M452,60)</f>
        <v>47435</v>
      </c>
      <c r="O452" s="27" t="str">
        <f>VLOOKUP(D452,'[1]PZ a UTZ'!$C$470:$H$664,5,FALSE)</f>
        <v>PZ 1246/14-E.49</v>
      </c>
      <c r="P452" s="27">
        <f>VLOOKUP(D452,'[1]PZ a UTZ'!$C$470:$H$664,6,FALSE)</f>
        <v>43788</v>
      </c>
      <c r="Q452" s="27">
        <f t="shared" si="29"/>
        <v>45615</v>
      </c>
      <c r="R452" s="242" t="s">
        <v>1641</v>
      </c>
      <c r="S452" s="258">
        <v>607228744</v>
      </c>
      <c r="T452" s="280" t="s">
        <v>1682</v>
      </c>
    </row>
    <row r="453" spans="2:20" x14ac:dyDescent="0.25">
      <c r="B453" s="10">
        <v>452</v>
      </c>
      <c r="C453" s="45" t="s">
        <v>190</v>
      </c>
      <c r="D453" s="22" t="s">
        <v>688</v>
      </c>
      <c r="E453" s="46" t="s">
        <v>112</v>
      </c>
      <c r="F453" s="47">
        <v>25.460999999999999</v>
      </c>
      <c r="G453" s="47" t="s">
        <v>689</v>
      </c>
      <c r="H453" s="95">
        <v>1976</v>
      </c>
      <c r="I453" s="26">
        <v>43617</v>
      </c>
      <c r="J453" s="26" t="s">
        <v>77</v>
      </c>
      <c r="K453" s="86">
        <v>2019</v>
      </c>
      <c r="L453" s="26" t="s">
        <v>1442</v>
      </c>
      <c r="M453" s="27">
        <v>45610</v>
      </c>
      <c r="N453" s="27">
        <f t="shared" si="30"/>
        <v>47436</v>
      </c>
      <c r="O453" s="27" t="str">
        <f>VLOOKUP(F453,'[1]PZ a UTZ'!$E$2:$H$335,3,FALSE)</f>
        <v>PZ 10307/96-E.49</v>
      </c>
      <c r="P453" s="27">
        <f>VLOOKUP(F453,'[1]PZ a UTZ'!$E$2:$H$335,4,FALSE)</f>
        <v>44392</v>
      </c>
      <c r="Q453" s="27">
        <f t="shared" si="29"/>
        <v>46218</v>
      </c>
      <c r="R453" s="242" t="s">
        <v>1498</v>
      </c>
      <c r="S453" s="258">
        <v>725339124</v>
      </c>
      <c r="T453" s="274" t="s">
        <v>1186</v>
      </c>
    </row>
    <row r="454" spans="2:20" x14ac:dyDescent="0.25">
      <c r="B454" s="10">
        <v>453</v>
      </c>
      <c r="C454" s="45" t="s">
        <v>190</v>
      </c>
      <c r="D454" s="22" t="s">
        <v>688</v>
      </c>
      <c r="E454" s="46" t="s">
        <v>112</v>
      </c>
      <c r="F454" s="47">
        <v>26.504999999999999</v>
      </c>
      <c r="G454" s="47" t="s">
        <v>690</v>
      </c>
      <c r="H454" s="95">
        <v>1976</v>
      </c>
      <c r="I454" s="26">
        <v>43617</v>
      </c>
      <c r="J454" s="26" t="s">
        <v>77</v>
      </c>
      <c r="K454" s="86">
        <v>2019</v>
      </c>
      <c r="L454" s="26" t="s">
        <v>1443</v>
      </c>
      <c r="M454" s="27">
        <v>45610</v>
      </c>
      <c r="N454" s="27">
        <f t="shared" si="30"/>
        <v>47436</v>
      </c>
      <c r="O454" s="27" t="str">
        <f>VLOOKUP(F454,'[1]PZ a UTZ'!$E$2:$H$335,3,FALSE)</f>
        <v>PZ 10308/96-E.49</v>
      </c>
      <c r="P454" s="27">
        <f>VLOOKUP(F454,'[1]PZ a UTZ'!$E$2:$H$335,4,FALSE)</f>
        <v>44392</v>
      </c>
      <c r="Q454" s="27">
        <f t="shared" si="29"/>
        <v>46218</v>
      </c>
      <c r="R454" s="242" t="s">
        <v>1498</v>
      </c>
      <c r="S454" s="258">
        <v>725339124</v>
      </c>
      <c r="T454" s="274" t="s">
        <v>1187</v>
      </c>
    </row>
    <row r="455" spans="2:20" x14ac:dyDescent="0.25">
      <c r="B455" s="10">
        <v>454</v>
      </c>
      <c r="C455" s="68" t="s">
        <v>164</v>
      </c>
      <c r="D455" s="22" t="s">
        <v>1444</v>
      </c>
      <c r="E455" s="46" t="s">
        <v>53</v>
      </c>
      <c r="F455" s="69">
        <v>0.34799999999999998</v>
      </c>
      <c r="G455" s="24"/>
      <c r="H455" s="25">
        <v>2014</v>
      </c>
      <c r="I455" s="26">
        <v>43770</v>
      </c>
      <c r="J455" s="49" t="s">
        <v>17</v>
      </c>
      <c r="K455" s="48">
        <v>2014</v>
      </c>
      <c r="L455" s="49" t="s">
        <v>1445</v>
      </c>
      <c r="M455" s="27">
        <v>45622</v>
      </c>
      <c r="N455" s="27">
        <f t="shared" si="30"/>
        <v>47448</v>
      </c>
      <c r="O455" s="27" t="str">
        <f>VLOOKUP(D455,'[1]PZ a UTZ'!$C$470:$H$664,5,FALSE)</f>
        <v>PZ 0709/20-E.49</v>
      </c>
      <c r="P455" s="27">
        <f>VLOOKUP(D455,'[1]PZ a UTZ'!$C$470:$H$664,6,FALSE)</f>
        <v>43810</v>
      </c>
      <c r="Q455" s="27">
        <f t="shared" si="29"/>
        <v>45637</v>
      </c>
      <c r="R455" s="242" t="s">
        <v>1543</v>
      </c>
      <c r="S455" s="258">
        <v>724862434</v>
      </c>
      <c r="T455" s="280" t="s">
        <v>983</v>
      </c>
    </row>
    <row r="456" spans="2:20" x14ac:dyDescent="0.25">
      <c r="B456" s="10">
        <v>455</v>
      </c>
      <c r="C456" s="53" t="s">
        <v>14</v>
      </c>
      <c r="D456" s="22" t="s">
        <v>52</v>
      </c>
      <c r="E456" s="46" t="s">
        <v>53</v>
      </c>
      <c r="F456" s="54">
        <v>93.085999999999999</v>
      </c>
      <c r="G456" s="47"/>
      <c r="H456" s="48">
        <v>2014</v>
      </c>
      <c r="I456" s="49">
        <v>43800</v>
      </c>
      <c r="J456" s="49" t="s">
        <v>17</v>
      </c>
      <c r="K456" s="48">
        <v>2014</v>
      </c>
      <c r="L456" s="49" t="s">
        <v>1446</v>
      </c>
      <c r="M456" s="27">
        <v>45614</v>
      </c>
      <c r="N456" s="27">
        <f t="shared" si="30"/>
        <v>47440</v>
      </c>
      <c r="O456" s="27" t="str">
        <f>VLOOKUP(D456,'[1]PZ a UTZ'!$C$341:$H$464,5,FALSE)</f>
        <v>PZ 0707/20-E.49</v>
      </c>
      <c r="P456" s="27">
        <f>VLOOKUP(D456,'[1]PZ a UTZ'!$C$341:$H$464,6,FALSE)</f>
        <v>43810</v>
      </c>
      <c r="Q456" s="27">
        <f t="shared" si="29"/>
        <v>45637</v>
      </c>
      <c r="R456" s="242" t="s">
        <v>1543</v>
      </c>
      <c r="S456" s="258">
        <v>724862434</v>
      </c>
      <c r="T456" s="274" t="s">
        <v>934</v>
      </c>
    </row>
    <row r="457" spans="2:20" x14ac:dyDescent="0.25">
      <c r="B457" s="10">
        <v>456</v>
      </c>
      <c r="C457" s="57" t="s">
        <v>885</v>
      </c>
      <c r="D457" s="58" t="s">
        <v>52</v>
      </c>
      <c r="E457" s="137" t="s">
        <v>53</v>
      </c>
      <c r="F457" s="60">
        <v>93.085999999999999</v>
      </c>
      <c r="G457" s="61" t="s">
        <v>1276</v>
      </c>
      <c r="H457" s="62">
        <v>2014</v>
      </c>
      <c r="I457" s="64">
        <v>43800</v>
      </c>
      <c r="J457" s="64" t="s">
        <v>17</v>
      </c>
      <c r="K457" s="62">
        <v>2014</v>
      </c>
      <c r="L457" s="64" t="s">
        <v>1447</v>
      </c>
      <c r="M457" s="67">
        <v>45614</v>
      </c>
      <c r="N457" s="67">
        <f t="shared" si="30"/>
        <v>47440</v>
      </c>
      <c r="O457" s="209"/>
      <c r="P457" s="209"/>
      <c r="Q457" s="209"/>
      <c r="R457" s="245" t="s">
        <v>1543</v>
      </c>
      <c r="S457" s="261">
        <v>724862434</v>
      </c>
      <c r="T457" s="275" t="s">
        <v>934</v>
      </c>
    </row>
    <row r="458" spans="2:20" x14ac:dyDescent="0.25">
      <c r="B458" s="10">
        <v>457</v>
      </c>
      <c r="C458" s="119" t="s">
        <v>72</v>
      </c>
      <c r="D458" s="30" t="s">
        <v>48</v>
      </c>
      <c r="E458" s="39" t="s">
        <v>39</v>
      </c>
      <c r="F458" s="40">
        <v>320.56599999999997</v>
      </c>
      <c r="G458" s="41"/>
      <c r="H458" s="42">
        <v>2020</v>
      </c>
      <c r="I458" s="35">
        <v>43831</v>
      </c>
      <c r="J458" s="35" t="s">
        <v>49</v>
      </c>
      <c r="K458" s="36">
        <v>2020</v>
      </c>
      <c r="L458" s="35" t="s">
        <v>1448</v>
      </c>
      <c r="M458" s="37">
        <v>45628</v>
      </c>
      <c r="N458" s="37">
        <f t="shared" si="30"/>
        <v>47454</v>
      </c>
      <c r="O458" s="37" t="str">
        <f>VLOOKUP(D458,'[1]PZ a UTZ'!$C$341:$H$464,5,FALSE)</f>
        <v>PZ 0909/20-E.49</v>
      </c>
      <c r="P458" s="37">
        <f>VLOOKUP(D458,'[1]PZ a UTZ'!$C$341:$H$464,6,FALSE)</f>
        <v>43864</v>
      </c>
      <c r="Q458" s="37">
        <f>EDATE(P458,60)</f>
        <v>45691</v>
      </c>
      <c r="R458" s="243" t="s">
        <v>1486</v>
      </c>
      <c r="S458" s="259">
        <v>724862431</v>
      </c>
      <c r="T458" s="287" t="s">
        <v>1683</v>
      </c>
    </row>
    <row r="459" spans="2:20" x14ac:dyDescent="0.25">
      <c r="B459" s="10">
        <v>458</v>
      </c>
      <c r="C459" s="178" t="s">
        <v>14</v>
      </c>
      <c r="D459" s="22" t="s">
        <v>96</v>
      </c>
      <c r="E459" s="46" t="s">
        <v>94</v>
      </c>
      <c r="F459" s="54">
        <v>82.998000000000005</v>
      </c>
      <c r="G459" s="47"/>
      <c r="H459" s="48">
        <v>2009</v>
      </c>
      <c r="I459" s="49">
        <v>43800</v>
      </c>
      <c r="J459" s="49" t="s">
        <v>95</v>
      </c>
      <c r="K459" s="48">
        <v>2009</v>
      </c>
      <c r="L459" s="49" t="s">
        <v>1449</v>
      </c>
      <c r="M459" s="27">
        <v>45629</v>
      </c>
      <c r="N459" s="27">
        <f t="shared" si="30"/>
        <v>47455</v>
      </c>
      <c r="O459" s="27" t="str">
        <f>VLOOKUP(D459,'[1]PZ a UTZ'!$C$341:$H$464,5,FALSE)</f>
        <v>PZ 1785/09-E.49</v>
      </c>
      <c r="P459" s="27">
        <f>VLOOKUP(D459,'[1]PZ a UTZ'!$C$341:$H$464,6,FALSE)</f>
        <v>43734</v>
      </c>
      <c r="Q459" s="27">
        <f>EDATE(P459,60)</f>
        <v>45561</v>
      </c>
      <c r="R459" s="242" t="s">
        <v>1491</v>
      </c>
      <c r="S459" s="258">
        <v>725582090</v>
      </c>
      <c r="T459" s="274" t="s">
        <v>951</v>
      </c>
    </row>
    <row r="460" spans="2:20" x14ac:dyDescent="0.25">
      <c r="B460" s="10">
        <v>459</v>
      </c>
      <c r="C460" s="57" t="s">
        <v>885</v>
      </c>
      <c r="D460" s="58" t="s">
        <v>96</v>
      </c>
      <c r="E460" s="59" t="s">
        <v>94</v>
      </c>
      <c r="F460" s="60">
        <v>82.998000000000005</v>
      </c>
      <c r="G460" s="61" t="s">
        <v>1276</v>
      </c>
      <c r="H460" s="62">
        <v>2009</v>
      </c>
      <c r="I460" s="64">
        <v>43800</v>
      </c>
      <c r="J460" s="64" t="s">
        <v>95</v>
      </c>
      <c r="K460" s="62">
        <v>2009</v>
      </c>
      <c r="L460" s="64" t="s">
        <v>1450</v>
      </c>
      <c r="M460" s="67">
        <v>45629</v>
      </c>
      <c r="N460" s="67">
        <f t="shared" si="30"/>
        <v>47455</v>
      </c>
      <c r="O460" s="209"/>
      <c r="P460" s="209"/>
      <c r="Q460" s="209"/>
      <c r="R460" s="245" t="s">
        <v>1491</v>
      </c>
      <c r="S460" s="261">
        <v>725582090</v>
      </c>
      <c r="T460" s="275" t="s">
        <v>951</v>
      </c>
    </row>
    <row r="461" spans="2:20" x14ac:dyDescent="0.25">
      <c r="B461" s="10">
        <v>460</v>
      </c>
      <c r="C461" s="71" t="s">
        <v>190</v>
      </c>
      <c r="D461" s="30" t="s">
        <v>531</v>
      </c>
      <c r="E461" s="72" t="s">
        <v>94</v>
      </c>
      <c r="F461" s="73">
        <v>85.557000000000002</v>
      </c>
      <c r="G461" s="73" t="s">
        <v>532</v>
      </c>
      <c r="H461" s="95">
        <v>1994</v>
      </c>
      <c r="I461" s="35">
        <v>43800</v>
      </c>
      <c r="J461" s="35" t="s">
        <v>124</v>
      </c>
      <c r="K461" s="85">
        <v>2019</v>
      </c>
      <c r="L461" s="210" t="s">
        <v>1451</v>
      </c>
      <c r="M461" s="204">
        <v>45630</v>
      </c>
      <c r="N461" s="204">
        <f t="shared" si="30"/>
        <v>47456</v>
      </c>
      <c r="O461" s="37" t="str">
        <f>VLOOKUP(F461,'[1]PZ a UTZ'!$E$2:$H$335,3,FALSE)</f>
        <v>PZ 10154/96-E.49</v>
      </c>
      <c r="P461" s="37">
        <f>VLOOKUP(F461,'[1]PZ a UTZ'!$E$2:$H$335,4,FALSE)</f>
        <v>43612</v>
      </c>
      <c r="Q461" s="37">
        <f>EDATE(P461,60)</f>
        <v>45439</v>
      </c>
      <c r="R461" s="243" t="s">
        <v>1601</v>
      </c>
      <c r="S461" s="259">
        <v>724214556</v>
      </c>
      <c r="T461" s="278" t="s">
        <v>1132</v>
      </c>
    </row>
    <row r="462" spans="2:20" x14ac:dyDescent="0.25">
      <c r="B462" s="10">
        <v>461</v>
      </c>
      <c r="C462" s="81" t="s">
        <v>357</v>
      </c>
      <c r="D462" s="22" t="s">
        <v>358</v>
      </c>
      <c r="E462" s="46" t="s">
        <v>25</v>
      </c>
      <c r="F462" s="24">
        <v>5.9939999999999998</v>
      </c>
      <c r="G462" s="24" t="s">
        <v>359</v>
      </c>
      <c r="H462" s="34">
        <v>2014</v>
      </c>
      <c r="I462" s="26">
        <v>43800</v>
      </c>
      <c r="J462" s="26" t="s">
        <v>124</v>
      </c>
      <c r="K462" s="86">
        <v>2014</v>
      </c>
      <c r="L462" s="26" t="s">
        <v>1452</v>
      </c>
      <c r="M462" s="27">
        <v>45625</v>
      </c>
      <c r="N462" s="27">
        <f t="shared" si="30"/>
        <v>47451</v>
      </c>
      <c r="O462" s="27" t="str">
        <f>VLOOKUP(F462,'[1]PZ a UTZ'!$E$2:$H$335,3,FALSE)</f>
        <v>PZ 1959/14-E.49</v>
      </c>
      <c r="P462" s="27">
        <f>VLOOKUP(F462,'[1]PZ a UTZ'!$E$2:$H$335,4,FALSE)</f>
        <v>43812</v>
      </c>
      <c r="Q462" s="27">
        <f>EDATE(P462,60)</f>
        <v>45639</v>
      </c>
      <c r="R462" s="242" t="s">
        <v>1525</v>
      </c>
      <c r="S462" s="258">
        <v>725339121</v>
      </c>
      <c r="T462" s="268" t="s">
        <v>1064</v>
      </c>
    </row>
    <row r="463" spans="2:20" x14ac:dyDescent="0.25">
      <c r="B463" s="10">
        <v>462</v>
      </c>
      <c r="C463" s="133" t="s">
        <v>1289</v>
      </c>
      <c r="D463" s="101" t="s">
        <v>28</v>
      </c>
      <c r="E463" s="120" t="s">
        <v>25</v>
      </c>
      <c r="F463" s="121">
        <v>14.997999999999999</v>
      </c>
      <c r="G463" s="122"/>
      <c r="H463" s="134">
        <v>2006</v>
      </c>
      <c r="I463" s="135">
        <v>43586</v>
      </c>
      <c r="J463" s="135" t="s">
        <v>657</v>
      </c>
      <c r="K463" s="134">
        <v>2006</v>
      </c>
      <c r="L463" s="135" t="s">
        <v>1453</v>
      </c>
      <c r="M463" s="108">
        <v>43600</v>
      </c>
      <c r="N463" s="211"/>
      <c r="O463" s="249"/>
      <c r="P463" s="249"/>
      <c r="Q463" s="249"/>
      <c r="R463" s="246" t="s">
        <v>1494</v>
      </c>
      <c r="S463" s="262">
        <v>602117762</v>
      </c>
      <c r="T463" s="288" t="s">
        <v>929</v>
      </c>
    </row>
    <row r="464" spans="2:20" x14ac:dyDescent="0.25">
      <c r="B464" s="10">
        <v>463</v>
      </c>
      <c r="C464" s="100" t="s">
        <v>1289</v>
      </c>
      <c r="D464" s="101" t="s">
        <v>38</v>
      </c>
      <c r="E464" s="102" t="s">
        <v>39</v>
      </c>
      <c r="F464" s="103">
        <v>345.47699999999998</v>
      </c>
      <c r="G464" s="104" t="s">
        <v>1454</v>
      </c>
      <c r="H464" s="105">
        <v>1999</v>
      </c>
      <c r="I464" s="106">
        <v>43770</v>
      </c>
      <c r="J464" s="135" t="s">
        <v>1455</v>
      </c>
      <c r="K464" s="107" t="s">
        <v>1456</v>
      </c>
      <c r="L464" s="106" t="s">
        <v>1457</v>
      </c>
      <c r="M464" s="108">
        <v>41722</v>
      </c>
      <c r="N464" s="108">
        <f t="shared" ref="N464:N476" si="31">EDATE(M464,60)</f>
        <v>43548</v>
      </c>
      <c r="O464" s="209"/>
      <c r="P464" s="209"/>
      <c r="Q464" s="209"/>
      <c r="R464" s="246" t="s">
        <v>1511</v>
      </c>
      <c r="S464" s="262">
        <v>603418035</v>
      </c>
      <c r="T464" s="299" t="s">
        <v>1681</v>
      </c>
    </row>
    <row r="465" spans="2:20" x14ac:dyDescent="0.25">
      <c r="B465" s="10">
        <v>464</v>
      </c>
      <c r="C465" s="100" t="s">
        <v>1289</v>
      </c>
      <c r="D465" s="101" t="s">
        <v>56</v>
      </c>
      <c r="E465" s="102" t="s">
        <v>53</v>
      </c>
      <c r="F465" s="103">
        <v>77.873000000000005</v>
      </c>
      <c r="G465" s="104"/>
      <c r="H465" s="105">
        <v>2011</v>
      </c>
      <c r="I465" s="212">
        <v>44317</v>
      </c>
      <c r="J465" s="106" t="s">
        <v>1458</v>
      </c>
      <c r="K465" s="105">
        <v>1987</v>
      </c>
      <c r="L465" s="212" t="s">
        <v>1459</v>
      </c>
      <c r="M465" s="108">
        <v>39464</v>
      </c>
      <c r="N465" s="108">
        <f t="shared" si="31"/>
        <v>41291</v>
      </c>
      <c r="O465" s="209"/>
      <c r="P465" s="209"/>
      <c r="Q465" s="209"/>
      <c r="R465" s="246" t="s">
        <v>1536</v>
      </c>
      <c r="S465" s="262">
        <v>702062263</v>
      </c>
      <c r="T465" s="283" t="s">
        <v>936</v>
      </c>
    </row>
    <row r="466" spans="2:20" x14ac:dyDescent="0.25">
      <c r="B466" s="10">
        <v>465</v>
      </c>
      <c r="C466" s="100" t="s">
        <v>1289</v>
      </c>
      <c r="D466" s="101" t="s">
        <v>54</v>
      </c>
      <c r="E466" s="102" t="s">
        <v>53</v>
      </c>
      <c r="F466" s="103">
        <v>0.34799999999999998</v>
      </c>
      <c r="G466" s="104"/>
      <c r="H466" s="105">
        <v>2011</v>
      </c>
      <c r="I466" s="106">
        <v>45017</v>
      </c>
      <c r="J466" s="106" t="s">
        <v>42</v>
      </c>
      <c r="K466" s="107">
        <v>1991</v>
      </c>
      <c r="L466" s="106" t="s">
        <v>1460</v>
      </c>
      <c r="M466" s="108">
        <v>39484</v>
      </c>
      <c r="N466" s="108">
        <f t="shared" si="31"/>
        <v>41311</v>
      </c>
      <c r="O466" s="209"/>
      <c r="P466" s="209"/>
      <c r="Q466" s="209"/>
      <c r="R466" s="246" t="s">
        <v>1534</v>
      </c>
      <c r="S466" s="262">
        <v>725138711</v>
      </c>
      <c r="T466" s="283" t="s">
        <v>935</v>
      </c>
    </row>
    <row r="467" spans="2:20" x14ac:dyDescent="0.25">
      <c r="B467" s="10">
        <v>466</v>
      </c>
      <c r="C467" s="100" t="s">
        <v>1289</v>
      </c>
      <c r="D467" s="101" t="s">
        <v>62</v>
      </c>
      <c r="E467" s="102" t="s">
        <v>63</v>
      </c>
      <c r="F467" s="103">
        <v>117.398</v>
      </c>
      <c r="G467" s="104"/>
      <c r="H467" s="105">
        <v>1975</v>
      </c>
      <c r="I467" s="106">
        <v>43983</v>
      </c>
      <c r="J467" s="106" t="s">
        <v>42</v>
      </c>
      <c r="K467" s="105">
        <v>2005</v>
      </c>
      <c r="L467" s="106" t="s">
        <v>1461</v>
      </c>
      <c r="M467" s="108">
        <v>39511</v>
      </c>
      <c r="N467" s="108">
        <f t="shared" si="31"/>
        <v>41337</v>
      </c>
      <c r="O467" s="209"/>
      <c r="P467" s="209"/>
      <c r="Q467" s="209"/>
      <c r="R467" s="246" t="s">
        <v>1497</v>
      </c>
      <c r="S467" s="262">
        <v>724862430</v>
      </c>
      <c r="T467" s="283" t="s">
        <v>939</v>
      </c>
    </row>
    <row r="468" spans="2:20" x14ac:dyDescent="0.25">
      <c r="B468" s="10">
        <v>467</v>
      </c>
      <c r="C468" s="100" t="s">
        <v>1289</v>
      </c>
      <c r="D468" s="101" t="s">
        <v>96</v>
      </c>
      <c r="E468" s="102" t="s">
        <v>94</v>
      </c>
      <c r="F468" s="103">
        <v>82.998000000000005</v>
      </c>
      <c r="G468" s="104" t="s">
        <v>1462</v>
      </c>
      <c r="H468" s="105">
        <v>1994</v>
      </c>
      <c r="I468" s="106">
        <v>43800</v>
      </c>
      <c r="J468" s="106" t="s">
        <v>42</v>
      </c>
      <c r="K468" s="105">
        <v>1994</v>
      </c>
      <c r="L468" s="106" t="s">
        <v>1463</v>
      </c>
      <c r="M468" s="108">
        <v>39673</v>
      </c>
      <c r="N468" s="108">
        <f t="shared" si="31"/>
        <v>41499</v>
      </c>
      <c r="O468" s="209"/>
      <c r="P468" s="209"/>
      <c r="Q468" s="209"/>
      <c r="R468" s="246" t="s">
        <v>1491</v>
      </c>
      <c r="S468" s="262">
        <v>725582090</v>
      </c>
      <c r="T468" s="283" t="s">
        <v>951</v>
      </c>
    </row>
    <row r="469" spans="2:20" x14ac:dyDescent="0.25">
      <c r="B469" s="10">
        <v>468</v>
      </c>
      <c r="C469" s="100" t="s">
        <v>14</v>
      </c>
      <c r="D469" s="101" t="s">
        <v>85</v>
      </c>
      <c r="E469" s="102" t="s">
        <v>63</v>
      </c>
      <c r="F469" s="103">
        <v>168.077</v>
      </c>
      <c r="G469" s="104" t="s">
        <v>1464</v>
      </c>
      <c r="H469" s="105">
        <v>1983</v>
      </c>
      <c r="I469" s="106">
        <v>45200</v>
      </c>
      <c r="J469" s="106" t="s">
        <v>16</v>
      </c>
      <c r="K469" s="107">
        <v>1983</v>
      </c>
      <c r="L469" s="106" t="s">
        <v>1465</v>
      </c>
      <c r="M469" s="108">
        <v>40077</v>
      </c>
      <c r="N469" s="108">
        <f t="shared" si="31"/>
        <v>41903</v>
      </c>
      <c r="O469" s="209"/>
      <c r="P469" s="209"/>
      <c r="Q469" s="209"/>
      <c r="R469" s="246" t="s">
        <v>1591</v>
      </c>
      <c r="S469" s="262">
        <v>724862387</v>
      </c>
      <c r="T469" s="283" t="s">
        <v>947</v>
      </c>
    </row>
    <row r="470" spans="2:20" x14ac:dyDescent="0.25">
      <c r="B470" s="10">
        <v>469</v>
      </c>
      <c r="C470" s="100" t="s">
        <v>1289</v>
      </c>
      <c r="D470" s="101" t="s">
        <v>58</v>
      </c>
      <c r="E470" s="102" t="s">
        <v>53</v>
      </c>
      <c r="F470" s="103">
        <v>71.762</v>
      </c>
      <c r="G470" s="104"/>
      <c r="H470" s="105">
        <v>2011</v>
      </c>
      <c r="I470" s="212">
        <v>44805</v>
      </c>
      <c r="J470" s="106" t="s">
        <v>70</v>
      </c>
      <c r="K470" s="105">
        <v>1987</v>
      </c>
      <c r="L470" s="212" t="s">
        <v>1466</v>
      </c>
      <c r="M470" s="108">
        <v>40682</v>
      </c>
      <c r="N470" s="108">
        <f t="shared" si="31"/>
        <v>42509</v>
      </c>
      <c r="O470" s="209"/>
      <c r="P470" s="209"/>
      <c r="Q470" s="209"/>
      <c r="R470" s="246" t="s">
        <v>1542</v>
      </c>
      <c r="S470" s="262">
        <v>702062264</v>
      </c>
      <c r="T470" s="283" t="s">
        <v>937</v>
      </c>
    </row>
    <row r="471" spans="2:20" x14ac:dyDescent="0.25">
      <c r="B471" s="10">
        <v>470</v>
      </c>
      <c r="C471" s="100" t="s">
        <v>1289</v>
      </c>
      <c r="D471" s="101" t="s">
        <v>1356</v>
      </c>
      <c r="E471" s="102" t="s">
        <v>53</v>
      </c>
      <c r="F471" s="103">
        <v>68.319000000000003</v>
      </c>
      <c r="G471" s="104" t="s">
        <v>1467</v>
      </c>
      <c r="H471" s="105">
        <v>2012</v>
      </c>
      <c r="I471" s="135">
        <v>44682</v>
      </c>
      <c r="J471" s="106" t="s">
        <v>1458</v>
      </c>
      <c r="K471" s="145">
        <v>1985</v>
      </c>
      <c r="L471" s="135" t="s">
        <v>1468</v>
      </c>
      <c r="M471" s="108">
        <v>40801</v>
      </c>
      <c r="N471" s="108">
        <f t="shared" si="31"/>
        <v>42628</v>
      </c>
      <c r="O471" s="209"/>
      <c r="P471" s="209"/>
      <c r="Q471" s="209"/>
      <c r="R471" s="246" t="s">
        <v>1536</v>
      </c>
      <c r="S471" s="262">
        <v>702062263</v>
      </c>
      <c r="T471" s="283" t="s">
        <v>938</v>
      </c>
    </row>
    <row r="472" spans="2:20" x14ac:dyDescent="0.25">
      <c r="B472" s="10">
        <v>471</v>
      </c>
      <c r="C472" s="100" t="s">
        <v>1289</v>
      </c>
      <c r="D472" s="101" t="s">
        <v>67</v>
      </c>
      <c r="E472" s="102" t="s">
        <v>63</v>
      </c>
      <c r="F472" s="103">
        <v>130.208</v>
      </c>
      <c r="G472" s="104" t="s">
        <v>1292</v>
      </c>
      <c r="H472" s="105">
        <v>1988</v>
      </c>
      <c r="I472" s="106">
        <v>44256</v>
      </c>
      <c r="J472" s="106" t="s">
        <v>16</v>
      </c>
      <c r="K472" s="107"/>
      <c r="L472" s="106" t="s">
        <v>1469</v>
      </c>
      <c r="M472" s="108">
        <v>41381</v>
      </c>
      <c r="N472" s="108">
        <f t="shared" si="31"/>
        <v>43207</v>
      </c>
      <c r="O472" s="209"/>
      <c r="P472" s="209"/>
      <c r="Q472" s="209"/>
      <c r="R472" s="246" t="s">
        <v>1532</v>
      </c>
      <c r="S472" s="262">
        <v>725339118</v>
      </c>
      <c r="T472" s="283" t="s">
        <v>941</v>
      </c>
    </row>
    <row r="473" spans="2:20" x14ac:dyDescent="0.25">
      <c r="B473" s="10">
        <v>472</v>
      </c>
      <c r="C473" s="213" t="s">
        <v>1289</v>
      </c>
      <c r="D473" s="101" t="s">
        <v>78</v>
      </c>
      <c r="E473" s="102" t="s">
        <v>63</v>
      </c>
      <c r="F473" s="103">
        <v>156.96</v>
      </c>
      <c r="G473" s="104" t="s">
        <v>1470</v>
      </c>
      <c r="H473" s="105">
        <v>1960</v>
      </c>
      <c r="I473" s="106">
        <v>43983</v>
      </c>
      <c r="J473" s="106" t="s">
        <v>1280</v>
      </c>
      <c r="K473" s="107" t="s">
        <v>1471</v>
      </c>
      <c r="L473" s="106" t="s">
        <v>1472</v>
      </c>
      <c r="M473" s="108">
        <v>41656</v>
      </c>
      <c r="N473" s="108">
        <f t="shared" si="31"/>
        <v>43482</v>
      </c>
      <c r="O473" s="209"/>
      <c r="P473" s="209"/>
      <c r="Q473" s="209"/>
      <c r="R473" s="246" t="s">
        <v>1496</v>
      </c>
      <c r="S473" s="262">
        <v>601375102</v>
      </c>
      <c r="T473" s="283" t="s">
        <v>945</v>
      </c>
    </row>
    <row r="474" spans="2:20" x14ac:dyDescent="0.25">
      <c r="B474" s="10">
        <v>473</v>
      </c>
      <c r="C474" s="100" t="s">
        <v>1289</v>
      </c>
      <c r="D474" s="101" t="s">
        <v>48</v>
      </c>
      <c r="E474" s="120" t="s">
        <v>39</v>
      </c>
      <c r="F474" s="121">
        <v>320.56599999999997</v>
      </c>
      <c r="G474" s="122"/>
      <c r="H474" s="132">
        <v>2020</v>
      </c>
      <c r="I474" s="175">
        <v>43831</v>
      </c>
      <c r="J474" s="175" t="s">
        <v>679</v>
      </c>
      <c r="K474" s="184">
        <v>2020</v>
      </c>
      <c r="L474" s="175" t="s">
        <v>1473</v>
      </c>
      <c r="M474" s="97">
        <v>42907</v>
      </c>
      <c r="N474" s="97">
        <f t="shared" si="31"/>
        <v>44733</v>
      </c>
      <c r="O474" s="209"/>
      <c r="P474" s="209"/>
      <c r="Q474" s="209"/>
      <c r="R474" s="246" t="s">
        <v>1486</v>
      </c>
      <c r="S474" s="262">
        <v>724862431</v>
      </c>
      <c r="T474" s="288" t="s">
        <v>1683</v>
      </c>
    </row>
    <row r="475" spans="2:20" ht="25.5" x14ac:dyDescent="0.25">
      <c r="B475" s="10">
        <v>474</v>
      </c>
      <c r="C475" s="133" t="s">
        <v>1289</v>
      </c>
      <c r="D475" s="198" t="s">
        <v>44</v>
      </c>
      <c r="E475" s="120" t="s">
        <v>39</v>
      </c>
      <c r="F475" s="121">
        <v>332.61200000000002</v>
      </c>
      <c r="G475" s="122" t="s">
        <v>1474</v>
      </c>
      <c r="H475" s="132">
        <v>2020</v>
      </c>
      <c r="I475" s="154">
        <v>43891</v>
      </c>
      <c r="J475" s="96" t="s">
        <v>46</v>
      </c>
      <c r="K475" s="184">
        <v>1999</v>
      </c>
      <c r="L475" s="175" t="s">
        <v>1475</v>
      </c>
      <c r="M475" s="97">
        <v>41955</v>
      </c>
      <c r="N475" s="97">
        <f t="shared" si="31"/>
        <v>43781</v>
      </c>
      <c r="O475" s="209"/>
      <c r="P475" s="209"/>
      <c r="Q475" s="209"/>
      <c r="R475" s="252" t="s">
        <v>1484</v>
      </c>
      <c r="S475" s="265">
        <v>724450266</v>
      </c>
      <c r="T475" s="300" t="s">
        <v>1642</v>
      </c>
    </row>
    <row r="476" spans="2:20" x14ac:dyDescent="0.25">
      <c r="B476" s="10">
        <v>475</v>
      </c>
      <c r="C476" s="214" t="s">
        <v>190</v>
      </c>
      <c r="D476" s="215" t="s">
        <v>854</v>
      </c>
      <c r="E476" s="216" t="s">
        <v>133</v>
      </c>
      <c r="F476" s="217">
        <v>422.92</v>
      </c>
      <c r="G476" s="217" t="s">
        <v>855</v>
      </c>
      <c r="H476" s="218">
        <v>2009</v>
      </c>
      <c r="I476" s="219"/>
      <c r="J476" s="219" t="s">
        <v>856</v>
      </c>
      <c r="K476" s="220"/>
      <c r="L476" s="219"/>
      <c r="M476" s="209">
        <v>39814</v>
      </c>
      <c r="N476" s="209">
        <f t="shared" si="31"/>
        <v>41640</v>
      </c>
      <c r="O476" s="209"/>
      <c r="P476" s="209"/>
      <c r="Q476" s="209"/>
      <c r="R476" s="253"/>
      <c r="S476" s="266"/>
      <c r="T476" s="302" t="s">
        <v>1256</v>
      </c>
    </row>
    <row r="477" spans="2:20" x14ac:dyDescent="0.25">
      <c r="B477" s="10">
        <v>476</v>
      </c>
      <c r="C477" s="221" t="s">
        <v>14</v>
      </c>
      <c r="D477" s="215" t="s">
        <v>1476</v>
      </c>
      <c r="E477" s="216" t="s">
        <v>15</v>
      </c>
      <c r="F477" s="222">
        <v>102.77</v>
      </c>
      <c r="G477" s="223" t="s">
        <v>1477</v>
      </c>
      <c r="H477" s="224">
        <v>2019</v>
      </c>
      <c r="I477" s="219">
        <v>43556</v>
      </c>
      <c r="J477" s="219" t="s">
        <v>17</v>
      </c>
      <c r="K477" s="220">
        <v>2019</v>
      </c>
      <c r="L477" s="219" t="s">
        <v>1478</v>
      </c>
      <c r="M477" s="209" t="s">
        <v>1479</v>
      </c>
      <c r="N477" s="209" t="s">
        <v>1479</v>
      </c>
      <c r="O477" s="209"/>
      <c r="P477" s="209"/>
      <c r="Q477" s="209"/>
      <c r="R477" s="253"/>
      <c r="S477" s="266"/>
      <c r="T477" s="303" t="s">
        <v>1678</v>
      </c>
    </row>
    <row r="478" spans="2:20" x14ac:dyDescent="0.25">
      <c r="B478" s="10">
        <v>477</v>
      </c>
      <c r="C478" s="225" t="s">
        <v>190</v>
      </c>
      <c r="D478" s="215" t="s">
        <v>425</v>
      </c>
      <c r="E478" s="216" t="s">
        <v>63</v>
      </c>
      <c r="F478" s="223">
        <v>0.503</v>
      </c>
      <c r="G478" s="223"/>
      <c r="H478" s="226">
        <v>1994</v>
      </c>
      <c r="I478" s="227"/>
      <c r="J478" s="227" t="s">
        <v>426</v>
      </c>
      <c r="K478" s="226"/>
      <c r="L478" s="227"/>
      <c r="M478" s="209">
        <v>34335</v>
      </c>
      <c r="N478" s="209">
        <f>EDATE(M478,60)</f>
        <v>36161</v>
      </c>
      <c r="O478" s="209"/>
      <c r="P478" s="209"/>
      <c r="Q478" s="209"/>
      <c r="R478" s="253"/>
      <c r="S478" s="266"/>
      <c r="T478" s="304" t="s">
        <v>929</v>
      </c>
    </row>
    <row r="479" spans="2:20" ht="15.75" thickBot="1" x14ac:dyDescent="0.3">
      <c r="B479" s="11">
        <v>478</v>
      </c>
      <c r="C479" s="228"/>
      <c r="D479" s="229"/>
      <c r="E479" s="230"/>
      <c r="F479" s="231"/>
      <c r="G479" s="232"/>
      <c r="H479" s="233"/>
      <c r="I479" s="234"/>
      <c r="J479" s="234"/>
      <c r="K479" s="235"/>
      <c r="L479" s="236"/>
      <c r="M479" s="237"/>
      <c r="N479" s="237"/>
      <c r="O479" s="237"/>
      <c r="P479" s="237"/>
      <c r="Q479" s="237"/>
      <c r="R479" s="254"/>
      <c r="S479" s="267"/>
      <c r="T479" s="305"/>
    </row>
  </sheetData>
  <conditionalFormatting sqref="B3:B479">
    <cfRule type="containsText" dxfId="8" priority="8" operator="containsText" text="Nemoc">
      <formula>NOT(ISERROR(SEARCH("Nemoc",B3)))</formula>
    </cfRule>
    <cfRule type="containsText" dxfId="7" priority="9" operator="containsText" text="Dovolená">
      <formula>NOT(ISERROR(SEARCH("Dovolená",B3)))</formula>
    </cfRule>
  </conditionalFormatting>
  <conditionalFormatting sqref="C3:M478">
    <cfRule type="containsText" dxfId="6" priority="6" operator="containsText" text="Nemoc">
      <formula>NOT(ISERROR(SEARCH("Nemoc",C3)))</formula>
    </cfRule>
    <cfRule type="containsText" dxfId="5" priority="7" operator="containsText" text="Dovolená">
      <formula>NOT(ISERROR(SEARCH("Dovolená",C3)))</formula>
    </cfRule>
  </conditionalFormatting>
  <conditionalFormatting sqref="N2:S478">
    <cfRule type="containsText" dxfId="4" priority="4" operator="containsText" text="Nemoc">
      <formula>NOT(ISERROR(SEARCH("Nemoc",N2)))</formula>
    </cfRule>
    <cfRule type="containsText" dxfId="3" priority="5" operator="containsText" text="Dovolená">
      <formula>NOT(ISERROR(SEARCH("Dovolená",N2)))</formula>
    </cfRule>
  </conditionalFormatting>
  <conditionalFormatting sqref="O3:O391">
    <cfRule type="expression" dxfId="2" priority="3">
      <formula>ISERR(FIND(RIGHT(H3,2),O3))</formula>
    </cfRule>
  </conditionalFormatting>
  <conditionalFormatting sqref="T3:T478">
    <cfRule type="containsText" dxfId="1" priority="1" operator="containsText" text="Nemoc">
      <formula>NOT(ISERROR(SEARCH("Nemoc",T3)))</formula>
    </cfRule>
    <cfRule type="containsText" dxfId="0" priority="2" operator="containsText" text="Dovolená">
      <formula>NOT(ISERROR(SEARCH("Dovolená",T3)))</formula>
    </cfRule>
  </conditionalFormatting>
  <hyperlinks>
    <hyperlink ref="D3" r:id="rId1" xr:uid="{4144BFA4-42B5-421C-A318-FB2086471AF4}"/>
    <hyperlink ref="D4" r:id="rId2" xr:uid="{D40D02F0-5DF3-4F93-9BD1-CD5BFED43A00}"/>
    <hyperlink ref="D5" r:id="rId3" xr:uid="{237E8BAD-53BB-4719-8D59-62E99C36DEEB}"/>
    <hyperlink ref="D6" r:id="rId4" xr:uid="{009AF105-6CA9-411B-9CA6-5CE08FD7FE39}"/>
    <hyperlink ref="D7" r:id="rId5" xr:uid="{7F5DD0CE-0BCF-44C0-AE65-94A2182C9FC5}"/>
    <hyperlink ref="D8" r:id="rId6" xr:uid="{E90B4ACE-4149-4971-9ED8-273FC4353FF4}"/>
    <hyperlink ref="D9" r:id="rId7" xr:uid="{E130303B-6140-415E-91E9-7F8C9F7555B8}"/>
    <hyperlink ref="D10" r:id="rId8" xr:uid="{F0A052DB-13D0-4090-9944-E94C28B99034}"/>
    <hyperlink ref="D11" r:id="rId9" xr:uid="{AF4FD612-3E8A-46A5-B733-887C910A13D7}"/>
    <hyperlink ref="D12" r:id="rId10" xr:uid="{CF220B54-65D4-4A74-A1C2-CFE9A5205F38}"/>
    <hyperlink ref="D13" r:id="rId11" xr:uid="{787FC2EE-729C-4FE2-B2BE-11A7E414A41D}"/>
    <hyperlink ref="D14" r:id="rId12" xr:uid="{47B0DCBD-D90C-4AC1-ACB0-A61DD55224AF}"/>
    <hyperlink ref="D15" r:id="rId13" xr:uid="{1AA06470-27B6-4A46-85FD-04B269C28125}"/>
    <hyperlink ref="D16" r:id="rId14" xr:uid="{85A0A152-580F-4EB1-9F62-400724CB0E4D}"/>
    <hyperlink ref="D17" r:id="rId15" xr:uid="{B102B116-2212-4FC8-AD56-94B866CF14F7}"/>
    <hyperlink ref="D18" r:id="rId16" xr:uid="{F8DA162A-E960-4B1E-9528-5059C7A74408}"/>
    <hyperlink ref="D19" r:id="rId17" xr:uid="{9FB9B5A1-6499-4327-8FAF-73AE6486EFBF}"/>
    <hyperlink ref="D20" r:id="rId18" xr:uid="{B83B86F8-EB27-495F-A577-09216944B078}"/>
    <hyperlink ref="D21" r:id="rId19" xr:uid="{D1BD5A0E-409B-4E45-9A8B-360B10AC55B2}"/>
    <hyperlink ref="D22" r:id="rId20" xr:uid="{C7064381-F908-4256-B1EA-96B982276A2F}"/>
    <hyperlink ref="D23" r:id="rId21" xr:uid="{9D36F009-2699-4C88-B33F-48A7C6668E1F}"/>
    <hyperlink ref="D24" r:id="rId22" xr:uid="{2979086C-2B74-4F09-9744-8B68192E9420}"/>
    <hyperlink ref="D25" r:id="rId23" xr:uid="{F014B6B0-98BF-4F4D-A731-A59B68AF4B5B}"/>
    <hyperlink ref="D26" r:id="rId24" xr:uid="{5B64C6AB-B2BC-45C7-AE66-212B00F6D882}"/>
    <hyperlink ref="D27" r:id="rId25" xr:uid="{B5497151-BB93-4E05-BED8-809AEF8E9381}"/>
    <hyperlink ref="D28" r:id="rId26" xr:uid="{0DF92C9A-D5F3-4721-A45A-F97F15E97AD7}"/>
    <hyperlink ref="D29" r:id="rId27" xr:uid="{92EEBCD5-40D3-4C7F-9BA3-F89CE6CDBFCC}"/>
    <hyperlink ref="D30" r:id="rId28" xr:uid="{2FEA8642-161A-48D1-BA01-7D47596414DA}"/>
    <hyperlink ref="D31" r:id="rId29" xr:uid="{650998F0-796F-4B03-95A1-B68553EAF986}"/>
    <hyperlink ref="D32" r:id="rId30" xr:uid="{141A4F37-FD9F-4E85-AE56-13F00C374D0D}"/>
    <hyperlink ref="D33" r:id="rId31" xr:uid="{0A98CFC2-4A9C-417B-AC11-7F9D2AA0E36F}"/>
    <hyperlink ref="D34" r:id="rId32" xr:uid="{A708F4DB-F071-4795-AF9F-7ADFEEB2F0B4}"/>
    <hyperlink ref="D35" r:id="rId33" xr:uid="{51DC37EC-B21B-40E7-9CA8-A225023165D5}"/>
    <hyperlink ref="D36" r:id="rId34" xr:uid="{FF002F1E-EB6E-49E5-9D75-8659863BABA0}"/>
    <hyperlink ref="D37" r:id="rId35" xr:uid="{A3F0DD9D-CE2A-488D-A6C3-8924A74CB562}"/>
    <hyperlink ref="D38" r:id="rId36" xr:uid="{4A37F009-5990-4DD1-936C-C636D0457253}"/>
    <hyperlink ref="D39" r:id="rId37" xr:uid="{41C86E3B-1EE3-42AA-9B0B-02D62CD111EF}"/>
    <hyperlink ref="D40" r:id="rId38" xr:uid="{BF4A7E8C-780C-4A74-97FA-7BFF9549C6EC}"/>
    <hyperlink ref="D41" r:id="rId39" xr:uid="{F13D823E-149E-451C-8CAF-123DE74D1CD4}"/>
    <hyperlink ref="D42" r:id="rId40" xr:uid="{0CB6A46A-E519-4455-9019-40858A65ED0A}"/>
    <hyperlink ref="D43" r:id="rId41" xr:uid="{1DA6BEB2-9C36-4F0B-996D-2599151CBD70}"/>
    <hyperlink ref="D44" r:id="rId42" xr:uid="{91B87A9D-DC15-40F7-81B2-8F88B341FD30}"/>
    <hyperlink ref="D45" r:id="rId43" xr:uid="{2457E1E5-4CD3-4663-B6ED-E5D388EA94E5}"/>
    <hyperlink ref="D46" r:id="rId44" xr:uid="{BD54324C-9F21-4329-8D7F-6A209A1F1F77}"/>
    <hyperlink ref="D47" r:id="rId45" xr:uid="{8BF581A4-2167-4DE1-AA0D-FAC0695BB084}"/>
    <hyperlink ref="D48" r:id="rId46" xr:uid="{1F6ED097-FAA9-4305-8C8C-2D9D1698CEBD}"/>
    <hyperlink ref="D49" r:id="rId47" xr:uid="{32A4666F-F2FB-4491-A32A-819CD14E6A9A}"/>
    <hyperlink ref="D50" r:id="rId48" xr:uid="{225ED4EF-F3CF-403C-9562-F2BE20B6D399}"/>
    <hyperlink ref="D51" r:id="rId49" xr:uid="{6C8A948F-07D2-42E1-A229-B441FE35498B}"/>
    <hyperlink ref="D52" r:id="rId50" xr:uid="{D9B3AA60-DFAB-47AC-A50C-D409D55D3F1E}"/>
    <hyperlink ref="D53" r:id="rId51" xr:uid="{99058492-2E61-4E46-AA2E-0E665DEC1150}"/>
    <hyperlink ref="D54" r:id="rId52" xr:uid="{D237B15E-6E2B-48FE-81CC-990F9D6DF0EE}"/>
    <hyperlink ref="D55" r:id="rId53" xr:uid="{C94E1925-3C86-4A98-93DC-0F0AC116E3CB}"/>
    <hyperlink ref="D56" r:id="rId54" xr:uid="{F850764E-DBA3-4AC3-AC23-21BF0C886D12}"/>
    <hyperlink ref="D57" r:id="rId55" xr:uid="{39F99E01-72EC-4823-A72B-1A7BB685AC36}"/>
    <hyperlink ref="D58" r:id="rId56" xr:uid="{6E945184-E070-404C-9E7C-C8C7E127DDA6}"/>
    <hyperlink ref="D59" r:id="rId57" xr:uid="{0512644A-14D4-4C89-A188-5B551EF395FD}"/>
    <hyperlink ref="D60" r:id="rId58" xr:uid="{2CF0EB8B-A967-4C78-B98C-4883F873FF96}"/>
    <hyperlink ref="D61" r:id="rId59" xr:uid="{4FC961EB-8CAE-44A0-AD44-5DB12FAE31EC}"/>
    <hyperlink ref="D62" r:id="rId60" xr:uid="{0C3ED877-A358-497D-A8D5-9F87DB7CEE9A}"/>
    <hyperlink ref="D63" r:id="rId61" xr:uid="{84BC8E20-E59A-470A-9AF7-AE959FD24B02}"/>
    <hyperlink ref="D64" r:id="rId62" xr:uid="{0C5BB547-6A8B-440B-8643-F1177E598DFA}"/>
    <hyperlink ref="D65" r:id="rId63" xr:uid="{6948CE7B-C114-440D-970E-EFF9034C70E4}"/>
    <hyperlink ref="D66" r:id="rId64" xr:uid="{5E6A53A8-A891-445F-A6FD-328231716AB3}"/>
    <hyperlink ref="D67" r:id="rId65" xr:uid="{58C4332C-05FD-4472-A4D0-74CD61E775FB}"/>
    <hyperlink ref="D68" r:id="rId66" xr:uid="{1AFBC0FF-0C96-4099-A689-8C4AFA484316}"/>
    <hyperlink ref="D69" r:id="rId67" xr:uid="{D39D661E-52A2-4021-9254-D06394C388C6}"/>
    <hyperlink ref="D70" r:id="rId68" xr:uid="{4BFB9EE1-556C-4759-9E98-A7CBA43423A7}"/>
    <hyperlink ref="D71" r:id="rId69" xr:uid="{3628DD03-09AC-4BE9-936B-EA22BB5D1FCD}"/>
    <hyperlink ref="D72" r:id="rId70" xr:uid="{793BDA7B-5607-4ABB-B1C1-8D4CFC67972F}"/>
    <hyperlink ref="D73" r:id="rId71" xr:uid="{67BD2EC6-BA85-4DCD-B340-37763C4231A1}"/>
    <hyperlink ref="D74" r:id="rId72" xr:uid="{E4188146-64D4-4F6D-BEC4-F3C9878A038A}"/>
    <hyperlink ref="D75" r:id="rId73" xr:uid="{5A43227B-472C-4C4B-9496-8C11F17B15A5}"/>
    <hyperlink ref="D76" r:id="rId74" xr:uid="{B958AAAF-4F16-45BA-AC6C-FC315A70FA06}"/>
    <hyperlink ref="D77" r:id="rId75" xr:uid="{2357C52D-BF41-44F0-B40D-5C1B14AD88E3}"/>
    <hyperlink ref="D78" r:id="rId76" xr:uid="{B67A4EE9-BA20-438B-895D-BC309256F88F}"/>
    <hyperlink ref="D79" r:id="rId77" xr:uid="{CD9E1A68-56CC-4857-902F-1512A7AD6F49}"/>
    <hyperlink ref="D80" r:id="rId78" xr:uid="{AE84A853-EB22-4131-B041-B6CE7A7A6E77}"/>
    <hyperlink ref="D81" r:id="rId79" xr:uid="{3AF2C71A-2C68-4C74-B9BB-4AC5F0CAC7BA}"/>
    <hyperlink ref="D82" r:id="rId80" xr:uid="{EEB0B844-D9F1-4B4D-AC29-1E3F0C2BF81D}"/>
    <hyperlink ref="D83" r:id="rId81" xr:uid="{99B88D46-567B-4142-8497-69CE1843BAB8}"/>
    <hyperlink ref="D84" r:id="rId82" xr:uid="{2D84DA73-E123-4CD2-B904-6592A2C973C7}"/>
    <hyperlink ref="D85" r:id="rId83" xr:uid="{1F68D477-0DC1-4001-9C3F-BA7D087F6D47}"/>
    <hyperlink ref="D86" r:id="rId84" xr:uid="{B787FEE7-74BB-4C7E-91EE-6672ACC825AE}"/>
    <hyperlink ref="D87" r:id="rId85" xr:uid="{A0AF3996-3314-4D12-B619-4C4D3FA15F0F}"/>
    <hyperlink ref="D88" r:id="rId86" xr:uid="{91E102A1-4242-4A92-A9CC-6467593A01FE}"/>
    <hyperlink ref="D89" r:id="rId87" xr:uid="{63F7EB6F-43B6-48EB-A2E9-2643F3A6698A}"/>
    <hyperlink ref="D90" r:id="rId88" xr:uid="{291FCAAD-C65E-4DEA-BAE4-C0F107A86360}"/>
    <hyperlink ref="D91" r:id="rId89" xr:uid="{376CFD7B-BF6B-4F5E-B064-515C3FEB87AA}"/>
    <hyperlink ref="D92" r:id="rId90" xr:uid="{AE813161-05D8-4FB2-BD15-10F0AEBF3B5C}"/>
    <hyperlink ref="D93" r:id="rId91" xr:uid="{C2A17236-7B91-43FC-A1E7-323D84A1439E}"/>
    <hyperlink ref="D94" r:id="rId92" xr:uid="{0CF6B082-A28C-4719-B616-2CC2E8184BE6}"/>
    <hyperlink ref="D95" r:id="rId93" xr:uid="{A6ACF351-30BD-4316-BEDC-E8B4A0F010F4}"/>
    <hyperlink ref="D96" r:id="rId94" xr:uid="{1E2AD5FB-D75F-4CCB-ADDC-084CEB664374}"/>
    <hyperlink ref="D97" r:id="rId95" xr:uid="{4E18CB67-4DD4-4950-8F18-F3C0CFE3E3CC}"/>
    <hyperlink ref="D98" r:id="rId96" xr:uid="{D2649E29-A70F-4176-ACA7-910821631B3B}"/>
    <hyperlink ref="D99" r:id="rId97" xr:uid="{1DBEA910-0AD4-4CD0-833F-D75ACFD4AC76}"/>
    <hyperlink ref="D100" r:id="rId98" xr:uid="{88AE5500-F416-4730-98B3-AA11A223AC83}"/>
    <hyperlink ref="D101" r:id="rId99" xr:uid="{A68A6D54-16B3-45C8-A95F-D85BB7B11898}"/>
    <hyperlink ref="D102" r:id="rId100" xr:uid="{DC21BF81-5C2F-40A1-90D4-B2ACE78CBCF5}"/>
    <hyperlink ref="D103" r:id="rId101" xr:uid="{C7D4CD50-B402-438A-845B-37A963AAD05F}"/>
    <hyperlink ref="D104" r:id="rId102" xr:uid="{BF2D5741-9D75-4A3B-A7D9-05979031AD11}"/>
    <hyperlink ref="D105" r:id="rId103" xr:uid="{84BB982E-4CE3-45AA-AE91-6B95F3426989}"/>
    <hyperlink ref="D106" r:id="rId104" xr:uid="{B8718700-674A-4664-B8FE-D2BEB14F6BA1}"/>
    <hyperlink ref="D107" r:id="rId105" xr:uid="{9902D0AD-3F84-4DD6-AAA9-F7363840B87B}"/>
    <hyperlink ref="D108" r:id="rId106" xr:uid="{514B1EE5-5944-4BDA-8D79-A7DA7557FEA2}"/>
    <hyperlink ref="D109" r:id="rId107" xr:uid="{2E225A82-CDA4-45A8-A7C4-D1F5CF3931FF}"/>
    <hyperlink ref="D110" r:id="rId108" xr:uid="{F1F9B5F6-0308-4255-A403-2EA5DB158053}"/>
    <hyperlink ref="D111" r:id="rId109" xr:uid="{188ECC80-1855-4A60-8EE1-A32D046CF25E}"/>
    <hyperlink ref="D112" r:id="rId110" xr:uid="{9E6684A5-E18D-4114-9E91-6C40A755EC24}"/>
    <hyperlink ref="D113" r:id="rId111" xr:uid="{5970AFBE-5737-46C0-949F-BD416A836DB0}"/>
    <hyperlink ref="D114" r:id="rId112" xr:uid="{CE4B21C6-267F-4A74-AB47-54C72E141632}"/>
    <hyperlink ref="D115" r:id="rId113" xr:uid="{1380C9CB-DC23-4EEA-9641-2E5339F2D096}"/>
    <hyperlink ref="D116" r:id="rId114" xr:uid="{E291E9B3-FA82-42EE-87B9-7B41BEC88FCB}"/>
    <hyperlink ref="D117" r:id="rId115" xr:uid="{7EDB9D14-35DC-408D-88EB-4DD1D2430B87}"/>
    <hyperlink ref="D118" r:id="rId116" xr:uid="{8B357250-EAF2-40B9-91F1-3A398AA76F6D}"/>
    <hyperlink ref="D119" r:id="rId117" xr:uid="{E07FA003-4FD2-47DC-A0E0-02C7B246B777}"/>
    <hyperlink ref="D120" r:id="rId118" xr:uid="{470D163D-243D-4B9E-850C-9EBB59F783BC}"/>
    <hyperlink ref="D121" r:id="rId119" xr:uid="{2A66F923-2A38-4196-9E4E-D6A10F323E94}"/>
    <hyperlink ref="D122" r:id="rId120" xr:uid="{BD0439B6-6C54-4514-BB6D-18FB019BF903}"/>
    <hyperlink ref="D123" r:id="rId121" xr:uid="{BB93D723-C941-4DA3-A086-F890B688ECAA}"/>
    <hyperlink ref="D124" r:id="rId122" xr:uid="{41E0F121-E8B6-4796-AEAD-0555EF89FDD3}"/>
    <hyperlink ref="D125" r:id="rId123" xr:uid="{1B1B5C3D-E65E-4DED-8D15-B58ED7628AF7}"/>
    <hyperlink ref="D126" r:id="rId124" xr:uid="{0520F879-8CDB-49B8-BCB4-ABAFA1D9EE29}"/>
    <hyperlink ref="D127" r:id="rId125" xr:uid="{F2E0860C-374E-4F3E-9FAA-4BA148887464}"/>
    <hyperlink ref="D128" r:id="rId126" xr:uid="{9E50E472-01A2-43B4-AD8E-9AE4A1737900}"/>
    <hyperlink ref="D129" r:id="rId127" xr:uid="{717FDF90-EC88-418F-9FB6-680388527B98}"/>
    <hyperlink ref="D130" r:id="rId128" xr:uid="{998AD90A-0C5A-499F-A171-DD0A678DE500}"/>
    <hyperlink ref="D131" r:id="rId129" xr:uid="{8CAC9F6C-92AB-47EF-A769-47460662F347}"/>
    <hyperlink ref="D132" r:id="rId130" xr:uid="{09E4D64E-337D-4F8E-A3B2-53C84736DE0A}"/>
    <hyperlink ref="D133" r:id="rId131" xr:uid="{1D737130-4615-4493-B146-5ED2B3657ACE}"/>
    <hyperlink ref="D134" r:id="rId132" xr:uid="{2D232E0F-721C-405E-A2A1-4F7E5C6476B9}"/>
    <hyperlink ref="D135" r:id="rId133" xr:uid="{220670B4-946B-40C7-B725-FA92B043734D}"/>
    <hyperlink ref="D136" r:id="rId134" xr:uid="{C4117FEA-4756-4DF1-84BD-26994F81EE88}"/>
    <hyperlink ref="D137" r:id="rId135" xr:uid="{8019C920-2346-4F8A-AD3C-E2B6DA3BACF6}"/>
    <hyperlink ref="D138" r:id="rId136" xr:uid="{D04897C0-A203-4D02-9FB9-8B48855DE4E1}"/>
    <hyperlink ref="D139" r:id="rId137" xr:uid="{B25A37AD-C3F3-4E93-B0F4-F015894C2A09}"/>
    <hyperlink ref="D140" r:id="rId138" xr:uid="{53AA87BB-09E2-4CE2-9EB0-6700AD765FE3}"/>
    <hyperlink ref="D141" r:id="rId139" xr:uid="{5E613E48-9E30-4180-AE09-B68E0CA1F0D8}"/>
    <hyperlink ref="D142" r:id="rId140" xr:uid="{42F590C9-249B-45FD-8877-B9AA77F6062E}"/>
    <hyperlink ref="D143" r:id="rId141" xr:uid="{D24451C8-0D13-404B-AC53-6FFA2B5202D5}"/>
    <hyperlink ref="D144" r:id="rId142" xr:uid="{E8C8E85C-EB32-4D8F-BB80-06757B4BA193}"/>
    <hyperlink ref="D145" r:id="rId143" xr:uid="{6EB8149E-D8FE-4A6B-B442-B0B8B0D611F8}"/>
    <hyperlink ref="D146" r:id="rId144" xr:uid="{3233336B-D0B0-4321-AC03-AE5B73430FD5}"/>
    <hyperlink ref="D147" r:id="rId145" xr:uid="{8CE210E4-D3C9-48F2-84FF-5AD977EE124A}"/>
    <hyperlink ref="D148" r:id="rId146" xr:uid="{2BA1382B-8B10-4B7D-A418-5DCD7FF56C1B}"/>
    <hyperlink ref="D149" r:id="rId147" xr:uid="{F8D88BA2-7913-42E5-9ABB-417CD3D5542F}"/>
    <hyperlink ref="D150" r:id="rId148" xr:uid="{89F80C64-B361-46BE-9970-8157CB639BA8}"/>
    <hyperlink ref="D151" r:id="rId149" xr:uid="{84A8E5A6-D5B8-4700-8194-972F3713A900}"/>
    <hyperlink ref="D152" r:id="rId150" xr:uid="{F48EEF79-58BB-4D08-9822-91D61A430D0B}"/>
    <hyperlink ref="D153" r:id="rId151" xr:uid="{3025AB4A-BCFB-4569-BB9A-051706918E09}"/>
    <hyperlink ref="D154" r:id="rId152" xr:uid="{B2CF7724-B428-42F7-B295-C432F7A98897}"/>
    <hyperlink ref="D155" r:id="rId153" xr:uid="{B629E9D3-414C-44F9-A301-C3A7A7CFCA49}"/>
    <hyperlink ref="D156" r:id="rId154" xr:uid="{FDE35393-1863-4D88-9E28-3EC755508557}"/>
    <hyperlink ref="D157" r:id="rId155" xr:uid="{14FABDBA-3F97-49E9-97B1-D327B822BD50}"/>
    <hyperlink ref="D158" r:id="rId156" xr:uid="{C4BC157A-B776-4A5E-9BB8-F27A01B0A666}"/>
    <hyperlink ref="D159" r:id="rId157" xr:uid="{2AC838E8-5D3E-473C-99F1-598E1CB12E24}"/>
    <hyperlink ref="D160" r:id="rId158" xr:uid="{D366235A-75F5-4D7F-87D0-63C502AE3B54}"/>
    <hyperlink ref="D161" r:id="rId159" xr:uid="{B51AB68F-FE39-439F-9199-8D9605D1981B}"/>
    <hyperlink ref="D162" r:id="rId160" xr:uid="{32F42771-AC9C-4421-9592-6BCE3A4B9073}"/>
    <hyperlink ref="D163" r:id="rId161" xr:uid="{AA0B10A1-729A-48BD-BFFC-F37E08AFA918}"/>
    <hyperlink ref="D164" r:id="rId162" xr:uid="{9226A730-EE6A-4171-B095-7BD11A1751C9}"/>
    <hyperlink ref="D165" r:id="rId163" xr:uid="{A61010FB-664D-4190-B4C9-05F9968D38F9}"/>
    <hyperlink ref="D166" r:id="rId164" xr:uid="{5D8A73DD-6CCB-40BD-9E18-42DD0A5E2A92}"/>
    <hyperlink ref="D167" r:id="rId165" xr:uid="{3480037D-8BC8-4F29-9DB9-5FBBEC9B132F}"/>
    <hyperlink ref="D168" r:id="rId166" xr:uid="{A1B1AE3D-2887-4883-A00A-7653F7A490C0}"/>
    <hyperlink ref="D169" r:id="rId167" xr:uid="{11D20CF3-ABA4-4639-ACE4-3A658CE29FB2}"/>
    <hyperlink ref="D170" r:id="rId168" xr:uid="{885B10D1-2FF3-41EC-806C-D5D51C6B0BD1}"/>
    <hyperlink ref="D171" r:id="rId169" xr:uid="{BE841BF8-F690-44CB-8E4E-7BE3CB235D8C}"/>
    <hyperlink ref="D172" r:id="rId170" xr:uid="{B376FF2E-352A-4727-B99A-18E2DB4398CA}"/>
    <hyperlink ref="D173" r:id="rId171" xr:uid="{AEFBE492-E1BD-47F3-ABF6-BE9BA9B3DEA2}"/>
    <hyperlink ref="D174" r:id="rId172" xr:uid="{619CA65A-057D-4DE9-9818-7B35F9065657}"/>
    <hyperlink ref="D175" r:id="rId173" xr:uid="{1DAB430B-C54A-4620-A43C-FEAD7ACCF632}"/>
    <hyperlink ref="D176" r:id="rId174" xr:uid="{24B50CF8-DF9B-48A0-9726-0BA3942B8307}"/>
    <hyperlink ref="D177" r:id="rId175" xr:uid="{5D237081-2F96-4C6A-8E4D-4369F335A48B}"/>
    <hyperlink ref="D178" r:id="rId176" xr:uid="{CEA39E79-6DDC-4057-A4C9-974C599C93E6}"/>
    <hyperlink ref="D179" r:id="rId177" xr:uid="{8AE352B2-7412-4A5B-82BB-BD094776BA70}"/>
    <hyperlink ref="D180" r:id="rId178" xr:uid="{C4458EA2-55AE-4703-9B03-37B74F02A5BB}"/>
    <hyperlink ref="D181" r:id="rId179" xr:uid="{3596FC93-78F4-4059-93FA-4A51376D3E90}"/>
    <hyperlink ref="D182" r:id="rId180" xr:uid="{1DC86A6F-C636-42ED-BD92-DFB674FBE917}"/>
    <hyperlink ref="D183" r:id="rId181" xr:uid="{F4CCB37A-EAC6-4B1C-81E7-4270274A0B97}"/>
    <hyperlink ref="D184" r:id="rId182" xr:uid="{7CC521F9-5D84-4F5F-9339-F2C07C784F33}"/>
    <hyperlink ref="D185" r:id="rId183" xr:uid="{A266F2B8-9A5F-45A1-B69D-0092EA2A24EF}"/>
    <hyperlink ref="D186" r:id="rId184" xr:uid="{501F70AA-6662-4A49-9B1B-CD70F5C3B06D}"/>
    <hyperlink ref="D187" r:id="rId185" xr:uid="{C18436B9-5E95-4AE4-AE9A-11D810CE11FD}"/>
    <hyperlink ref="D188" r:id="rId186" xr:uid="{1F353207-9E10-477C-96D8-56C52005BA93}"/>
    <hyperlink ref="D189" r:id="rId187" xr:uid="{0A53A5FC-AAF5-477F-8C57-0525B418D33F}"/>
    <hyperlink ref="D190" r:id="rId188" xr:uid="{8D97D2E5-0EFD-43B3-807D-C671FF9B53CC}"/>
    <hyperlink ref="D191" r:id="rId189" xr:uid="{148071F4-334B-4EF7-8418-5064D8955945}"/>
    <hyperlink ref="D192" r:id="rId190" xr:uid="{B1096259-51C1-4C3F-8023-9CAE7B4EAE9E}"/>
    <hyperlink ref="D193" r:id="rId191" xr:uid="{3F5C2A01-4E99-4802-97E2-4B9AE97C7630}"/>
    <hyperlink ref="D194" r:id="rId192" xr:uid="{DD543AFF-9D23-420B-96B5-1FEECE193176}"/>
    <hyperlink ref="D195" r:id="rId193" xr:uid="{7ADE3B0A-C761-45C0-A04E-F8170F23868D}"/>
    <hyperlink ref="D196" r:id="rId194" xr:uid="{83C42D13-F221-47EF-9C32-D6763A301565}"/>
    <hyperlink ref="D197" r:id="rId195" xr:uid="{7021595A-E65F-472A-A851-B09336FD58DA}"/>
    <hyperlink ref="D198" r:id="rId196" xr:uid="{C7987541-1DD4-4CE9-80EF-1FBBA77D773D}"/>
    <hyperlink ref="D199" r:id="rId197" xr:uid="{F844E52D-B13A-4481-AACE-32F842E1373B}"/>
    <hyperlink ref="D200" r:id="rId198" xr:uid="{F74E3D43-EDE6-46D7-8EA8-427AD83C2259}"/>
    <hyperlink ref="D201" r:id="rId199" xr:uid="{60B5BA7B-8924-42F6-BADF-771FCEE78175}"/>
    <hyperlink ref="D202" r:id="rId200" xr:uid="{1AEDE055-C525-4C44-88C2-3997B067766D}"/>
    <hyperlink ref="D203" r:id="rId201" xr:uid="{54203D87-5594-4F74-A27C-2D803EE35FEB}"/>
    <hyperlink ref="D204" r:id="rId202" xr:uid="{94F5CC8F-8E44-48D0-8E7E-0D67AAE5A698}"/>
    <hyperlink ref="D205" r:id="rId203" xr:uid="{9532672D-F562-40BD-96F9-4DF071A301D3}"/>
    <hyperlink ref="D206" r:id="rId204" xr:uid="{CD5A30A7-5709-4C27-8CB7-A93DA7A74BA5}"/>
    <hyperlink ref="D207" r:id="rId205" xr:uid="{E673F86A-EA18-476B-BF2B-40AF107CCE4E}"/>
    <hyperlink ref="D208" r:id="rId206" xr:uid="{1E3A5691-BB4E-4FA2-99BA-DA1743A61C4D}"/>
    <hyperlink ref="D209" r:id="rId207" xr:uid="{ADF0805D-85C4-4B53-AA8C-EDAA87F95895}"/>
    <hyperlink ref="D210" r:id="rId208" xr:uid="{FF694D72-06DB-4303-B54B-08654DEDDE8A}"/>
    <hyperlink ref="D211" r:id="rId209" xr:uid="{05C7C2FC-C3DB-4254-90CD-A8BEA533A8F4}"/>
    <hyperlink ref="D212" r:id="rId210" xr:uid="{CB79D058-753F-4C23-9D3A-030A295371BF}"/>
    <hyperlink ref="D213" r:id="rId211" xr:uid="{A7835704-9BE1-4514-B7E1-0998103EA0F5}"/>
    <hyperlink ref="D214" r:id="rId212" xr:uid="{9180E9CF-3CC5-45A8-A1E7-37F7453EE882}"/>
    <hyperlink ref="D215" r:id="rId213" xr:uid="{16271C51-444B-4D49-B967-3D426665FDE3}"/>
    <hyperlink ref="D216" r:id="rId214" xr:uid="{DF6E8181-87C3-49A7-9614-0D3E9CDC631F}"/>
    <hyperlink ref="D217" r:id="rId215" xr:uid="{F2A3DD67-C8AF-47D0-991F-98A24D07878D}"/>
    <hyperlink ref="D218" r:id="rId216" xr:uid="{9B4BCF06-567C-488E-BA09-2AC315B8417E}"/>
    <hyperlink ref="D219" r:id="rId217" xr:uid="{138A8F98-EABD-4107-87DE-575D1CBF6169}"/>
    <hyperlink ref="D220" r:id="rId218" xr:uid="{D67E4014-C0A5-4BA0-9E61-B9171F6B565C}"/>
    <hyperlink ref="D221" r:id="rId219" xr:uid="{21C225CA-E6AB-491E-8755-55392B3F1BC5}"/>
    <hyperlink ref="D222" r:id="rId220" xr:uid="{C2DF17FB-2D48-4A17-9B4E-032FCC98838C}"/>
    <hyperlink ref="D223" r:id="rId221" xr:uid="{D7364A80-7BCA-4DD2-9C15-B898728DEF2D}"/>
    <hyperlink ref="D224" r:id="rId222" xr:uid="{A4638A13-E571-478B-93B1-BEF82B4CDE5F}"/>
    <hyperlink ref="D225" r:id="rId223" xr:uid="{AA9883A6-4EB3-44DA-AC99-61DCBAE20624}"/>
    <hyperlink ref="D226" r:id="rId224" xr:uid="{4BB73089-D52A-44DC-8702-9E580B703E72}"/>
    <hyperlink ref="D227" r:id="rId225" xr:uid="{553B471D-9967-4DC6-801D-9B64334B10D9}"/>
    <hyperlink ref="D228" r:id="rId226" xr:uid="{A1B4E975-C798-452E-99FE-C8F4E4D5DDFA}"/>
    <hyperlink ref="D229" r:id="rId227" xr:uid="{2D3023AE-638C-4829-BB08-FEB1255E2918}"/>
    <hyperlink ref="D230" r:id="rId228" xr:uid="{EDF8BC4B-8DF7-44E7-96F3-BF295A518540}"/>
    <hyperlink ref="D231" r:id="rId229" xr:uid="{76188EFC-0A52-485C-8F49-CAF331A18AB7}"/>
    <hyperlink ref="D232" r:id="rId230" xr:uid="{90AF1EEA-D3F5-4326-985C-C15F39E116A6}"/>
    <hyperlink ref="D233" r:id="rId231" xr:uid="{4F9DF446-608A-4811-8473-58E06210494D}"/>
    <hyperlink ref="D234" r:id="rId232" xr:uid="{1FA588FE-29B1-40C0-8B8A-67D5B76A668A}"/>
    <hyperlink ref="D235" r:id="rId233" xr:uid="{4017510F-8FFB-4A56-B155-F431DE18BE9B}"/>
    <hyperlink ref="D236" r:id="rId234" xr:uid="{2903544B-5AF2-475E-8D33-55A829252687}"/>
    <hyperlink ref="D237" r:id="rId235" xr:uid="{A3D4A3AD-258D-460A-B871-DFB525F1D398}"/>
    <hyperlink ref="D238" r:id="rId236" xr:uid="{A5E9415C-2233-4731-AE47-9C86E6745877}"/>
    <hyperlink ref="D239" r:id="rId237" xr:uid="{BEBE9620-D3BF-42DF-B1B2-D4CCFA6AA40D}"/>
    <hyperlink ref="D240" r:id="rId238" xr:uid="{B3E40550-4FE4-436A-B4EA-BE05F2B6B382}"/>
    <hyperlink ref="D241" r:id="rId239" xr:uid="{3A9BB946-0BA0-426A-889B-6500297DE7CC}"/>
    <hyperlink ref="D242" r:id="rId240" xr:uid="{3683083C-54AE-4AE9-AF2D-0A6DC154BBE6}"/>
    <hyperlink ref="D243" r:id="rId241" xr:uid="{703B029D-D5A2-4991-A858-C7026D393E82}"/>
    <hyperlink ref="D244" r:id="rId242" xr:uid="{A78B0F04-9CC1-4CB0-946A-CF6D7085E245}"/>
    <hyperlink ref="D245" r:id="rId243" xr:uid="{C586E524-1708-4CF7-B6CC-5133BD1F1B38}"/>
    <hyperlink ref="D246" r:id="rId244" xr:uid="{575E345B-24D7-4C9D-ACF0-0904136E91D9}"/>
    <hyperlink ref="D247" r:id="rId245" xr:uid="{EB959416-1046-4272-9477-C7AA8AFDB306}"/>
    <hyperlink ref="D248" r:id="rId246" xr:uid="{E901D0BD-B96E-43BF-9718-586AA1535336}"/>
    <hyperlink ref="D249" r:id="rId247" xr:uid="{601F20D3-4238-4C46-86EC-55CB70B3EE5D}"/>
    <hyperlink ref="D250" r:id="rId248" xr:uid="{DFCEFB6B-5965-4D55-A5FB-9658887E3D8E}"/>
    <hyperlink ref="D251" r:id="rId249" xr:uid="{5FA72136-73BD-4756-B0A2-E345FF256663}"/>
    <hyperlink ref="D252" r:id="rId250" xr:uid="{37EC7508-AB45-4274-A6C8-67B711D1F4F0}"/>
    <hyperlink ref="D253" r:id="rId251" xr:uid="{FB39B524-C00D-42A6-89B0-9256473617D5}"/>
    <hyperlink ref="D254" r:id="rId252" xr:uid="{BE061243-BCE6-421D-9416-29D0F0BAE40E}"/>
    <hyperlink ref="D255" r:id="rId253" xr:uid="{FA8D3E3C-AB67-451E-A4E2-2380D80DDB1F}"/>
    <hyperlink ref="D256" r:id="rId254" xr:uid="{3E108C82-8BA4-4147-BC3E-FE0C9D5AB143}"/>
    <hyperlink ref="D257" r:id="rId255" xr:uid="{53353300-725C-4D57-BD89-0B9725CAE17F}"/>
    <hyperlink ref="D258" r:id="rId256" xr:uid="{5EFF7DA7-EE6F-4670-ADBE-360DC08E95C1}"/>
    <hyperlink ref="D259" r:id="rId257" xr:uid="{2FEDF5CD-C0B7-4E0A-AD0D-822E9F8A9928}"/>
    <hyperlink ref="D260" r:id="rId258" xr:uid="{110F36A1-A75E-4EBD-8D25-E267541C0119}"/>
    <hyperlink ref="D261" r:id="rId259" xr:uid="{1287210D-B77E-4413-87F8-2ED30A39EB00}"/>
    <hyperlink ref="D262" r:id="rId260" xr:uid="{506A4514-36CF-4D36-9E6D-F7F456F1C28F}"/>
    <hyperlink ref="D263" r:id="rId261" xr:uid="{EE49FBB1-4938-4AC4-BFE3-DE1089AEA9F0}"/>
    <hyperlink ref="D264" r:id="rId262" xr:uid="{7C41ABCD-90CA-44A1-896A-AEA9AD73CB69}"/>
    <hyperlink ref="D265" r:id="rId263" xr:uid="{77DDBF6A-6B3A-4A23-82EC-D1CF383FFFBF}"/>
    <hyperlink ref="D266" r:id="rId264" xr:uid="{2E3AC046-D19D-43E6-9365-5C3B55827E2B}"/>
    <hyperlink ref="D267" r:id="rId265" xr:uid="{9F9B8792-A853-46C4-800F-854F780984A3}"/>
    <hyperlink ref="D268" r:id="rId266" xr:uid="{056B8393-738A-47D2-B829-1F2F3813389F}"/>
    <hyperlink ref="D269" r:id="rId267" xr:uid="{5694B75E-1142-42D3-9608-9E02352C781F}"/>
    <hyperlink ref="D270" r:id="rId268" xr:uid="{09313E79-361E-43BA-B3CA-4DB4EACBAEED}"/>
    <hyperlink ref="D271" r:id="rId269" xr:uid="{CC6D8CAD-1DD8-478B-B751-D18F4B2D7177}"/>
    <hyperlink ref="D272" r:id="rId270" xr:uid="{1E226D5A-858A-4491-83F5-81A89B85C53E}"/>
    <hyperlink ref="D273" r:id="rId271" xr:uid="{3BDDCEDE-C7CB-4E61-83D6-6EDE2B6808D8}"/>
    <hyperlink ref="D274" r:id="rId272" xr:uid="{38DBEC5E-7DE9-49BF-B3B8-9B7CDF4D31AB}"/>
    <hyperlink ref="D275" r:id="rId273" xr:uid="{29F70FD8-B334-4F34-B157-7F9C0E105923}"/>
    <hyperlink ref="D276" r:id="rId274" xr:uid="{8BFAC111-AA64-4152-9BE9-7ECE41C31A80}"/>
    <hyperlink ref="D277" r:id="rId275" xr:uid="{D21C5E25-B91E-4687-BCC6-69FAE7F08E0B}"/>
    <hyperlink ref="D278" r:id="rId276" xr:uid="{4B1D166C-4EED-4511-9F32-D782762DAD6B}"/>
    <hyperlink ref="D279" r:id="rId277" xr:uid="{C31A3329-93DF-444B-A209-983806B66F2C}"/>
    <hyperlink ref="D280" r:id="rId278" xr:uid="{274AE14E-7231-4F41-BD9A-E3185BBE86BE}"/>
    <hyperlink ref="D281" r:id="rId279" xr:uid="{3068717E-9562-46B7-8DE4-837592EB81DB}"/>
    <hyperlink ref="D282" r:id="rId280" xr:uid="{E9AC2578-48C8-4B8D-8DDF-4DED0BE22666}"/>
    <hyperlink ref="D283" r:id="rId281" xr:uid="{ABC9F459-9A47-407F-BF4D-4DCB28CAD1B6}"/>
    <hyperlink ref="D284" r:id="rId282" xr:uid="{6FE42FB0-A3BD-439C-BE95-E678FF54854F}"/>
    <hyperlink ref="D285" r:id="rId283" xr:uid="{3ABE090E-2614-445E-8A0F-CE23E3EEB239}"/>
    <hyperlink ref="D286" r:id="rId284" xr:uid="{6AD3783C-E5E4-4A1D-85D3-85D5DDA256D2}"/>
    <hyperlink ref="D287" r:id="rId285" xr:uid="{98DF4A5D-2D87-414D-8782-8A1663C748FA}"/>
    <hyperlink ref="D288" r:id="rId286" xr:uid="{4206396E-F19A-4376-9237-D5D9C208E843}"/>
    <hyperlink ref="D289" r:id="rId287" xr:uid="{D2E15CE6-7C56-4A3A-A3C8-797334A9D494}"/>
    <hyperlink ref="D290" r:id="rId288" xr:uid="{DECA4338-8DBF-4C76-9292-B83BE09F181F}"/>
    <hyperlink ref="D291" r:id="rId289" xr:uid="{5A9E181D-184A-434D-8B7C-FC825A8E39E5}"/>
    <hyperlink ref="D292" r:id="rId290" xr:uid="{A8E2DE79-1C0B-4732-88D4-62B43E38CC1D}"/>
    <hyperlink ref="D293" r:id="rId291" xr:uid="{B790ADBD-A69C-4469-AF73-BB8DF5930239}"/>
    <hyperlink ref="D294" r:id="rId292" xr:uid="{4DD80165-4019-4884-AD15-421D888766EB}"/>
    <hyperlink ref="D295" r:id="rId293" xr:uid="{9CA8EE25-1E19-4ADD-802F-C87B2D0FAB7C}"/>
    <hyperlink ref="D296" r:id="rId294" xr:uid="{36CBFACC-F942-4172-B863-C258D7D90F38}"/>
    <hyperlink ref="D297" r:id="rId295" xr:uid="{0A8A9944-65A5-4A3C-85B7-7DE771D60402}"/>
    <hyperlink ref="D298" r:id="rId296" xr:uid="{89587709-12C4-40A5-8D10-6880EB5193C9}"/>
    <hyperlink ref="D299" r:id="rId297" xr:uid="{39B00D3C-2065-4177-A929-56BE010244A6}"/>
    <hyperlink ref="D300" r:id="rId298" xr:uid="{886F5B5D-3B36-4BEE-B51B-8FF8029E6490}"/>
    <hyperlink ref="D301" r:id="rId299" xr:uid="{F16889F5-60C4-46C5-B4A4-D7C2FFCE9852}"/>
    <hyperlink ref="D302" r:id="rId300" xr:uid="{411DAFDA-C3E0-4622-BCB8-9B632A6C8B6C}"/>
    <hyperlink ref="D303" r:id="rId301" xr:uid="{E60D95BD-A823-4331-B71F-1F3256706713}"/>
    <hyperlink ref="D304" r:id="rId302" xr:uid="{ED80541B-BD3F-46D0-BEB2-D4A79D91CE16}"/>
    <hyperlink ref="D305" r:id="rId303" xr:uid="{847A62F5-8E1F-4DBA-909F-3B80FEB2A0AF}"/>
    <hyperlink ref="D306" r:id="rId304" xr:uid="{131963F9-CFAE-4C6E-900C-7E29AD1F0506}"/>
    <hyperlink ref="D307" r:id="rId305" xr:uid="{124C218F-7ECD-4368-BDD2-790A7069BD01}"/>
    <hyperlink ref="D308" r:id="rId306" xr:uid="{A8EADEC1-8170-4D10-95DE-FF8B182B0D32}"/>
    <hyperlink ref="D309" r:id="rId307" xr:uid="{2064C666-FD9C-4C81-B408-7F5F5B070CC9}"/>
    <hyperlink ref="D310" r:id="rId308" xr:uid="{73C402DF-0844-4A06-927B-F50101DF5DF6}"/>
    <hyperlink ref="D311" r:id="rId309" xr:uid="{1ADD4F67-E590-49D5-AE12-0C106B35AB9B}"/>
    <hyperlink ref="D312" r:id="rId310" xr:uid="{C77529A6-E1D3-4398-8E45-52CA65988792}"/>
    <hyperlink ref="D313" r:id="rId311" xr:uid="{0C07BE71-5617-4BE2-A49A-650D2D2F4B9B}"/>
    <hyperlink ref="D314" r:id="rId312" xr:uid="{EC30CD0C-79C7-45CF-A217-BB2D5F0C664E}"/>
    <hyperlink ref="D315" r:id="rId313" xr:uid="{4536E3F7-E474-4172-88D4-E15A9E001E1B}"/>
    <hyperlink ref="D316" r:id="rId314" xr:uid="{4636067B-CC7C-4321-AF64-1A7728F160AA}"/>
    <hyperlink ref="D317" r:id="rId315" xr:uid="{F2641AEA-B00D-4932-82F4-91437E38E7C0}"/>
    <hyperlink ref="D318" r:id="rId316" xr:uid="{8B233EA2-FC8C-4F84-BDCD-853E092066FF}"/>
    <hyperlink ref="D319" r:id="rId317" xr:uid="{8F22AFCA-D183-41FD-B8AC-B6C3DA7507E5}"/>
    <hyperlink ref="D320" r:id="rId318" xr:uid="{5CEFB8BE-5199-4247-9424-404253EFA796}"/>
    <hyperlink ref="D321" r:id="rId319" xr:uid="{A2A1BC6D-CE6E-4886-AE71-B36469A2445C}"/>
    <hyperlink ref="D322" r:id="rId320" xr:uid="{F7FB9E75-6857-4929-8406-D4F94F2B46F4}"/>
    <hyperlink ref="D323" r:id="rId321" xr:uid="{3731DBDF-C286-433F-8E25-1B8EDE1869BB}"/>
    <hyperlink ref="D324" r:id="rId322" xr:uid="{FE29A5C1-E115-45F5-919D-4DF39B2EDD2C}"/>
    <hyperlink ref="D325" r:id="rId323" xr:uid="{AEC92A52-B1D2-486B-ADCC-770B9AA27BF1}"/>
    <hyperlink ref="D326" r:id="rId324" xr:uid="{C6F5746D-2A75-40F7-B884-18DB184CE087}"/>
    <hyperlink ref="D327" r:id="rId325" xr:uid="{B931AAC0-A4E3-4388-B52E-91DE00DF2A2D}"/>
    <hyperlink ref="D328" r:id="rId326" xr:uid="{5390051F-4DF3-4E3E-A6A2-F29CFB726E70}"/>
    <hyperlink ref="D329" r:id="rId327" xr:uid="{AC16BFC5-6568-4ABD-BA83-15AF2AE696EB}"/>
    <hyperlink ref="D330" r:id="rId328" xr:uid="{7AE1423A-C45C-4AE7-A3E3-794FFCFE324A}"/>
    <hyperlink ref="D331" r:id="rId329" xr:uid="{ED439FFA-3004-4FEE-8B38-62956819E432}"/>
    <hyperlink ref="D332" r:id="rId330" xr:uid="{00056DF1-D5C5-4E2C-8DA5-57452E9F1F69}"/>
    <hyperlink ref="D333" r:id="rId331" xr:uid="{5F07E238-C338-451F-AAAC-E2081AF6C139}"/>
    <hyperlink ref="D334" r:id="rId332" xr:uid="{573A4206-7E15-49AE-85EA-6DCA198716CE}"/>
    <hyperlink ref="D335" r:id="rId333" xr:uid="{D900B8CF-C4A3-4514-95CD-3138B15C0418}"/>
    <hyperlink ref="D336" r:id="rId334" xr:uid="{5367E1DC-9F0C-4795-9DEC-7F8789C5DF36}"/>
    <hyperlink ref="D337" r:id="rId335" xr:uid="{D6040167-A9A4-4279-932E-ECC50EA569A4}"/>
    <hyperlink ref="D338" r:id="rId336" xr:uid="{24780143-75E9-4CDC-AB15-BF77AFF8C4FB}"/>
    <hyperlink ref="D339" r:id="rId337" xr:uid="{EE8127D1-B876-4C9A-9028-361D80013E44}"/>
    <hyperlink ref="D340" r:id="rId338" xr:uid="{CC94E684-8355-4752-B541-3D3E4DC07A3C}"/>
    <hyperlink ref="D341" r:id="rId339" xr:uid="{4B2CC218-9C00-49CB-A05A-A9198E90C8E5}"/>
    <hyperlink ref="D342" r:id="rId340" xr:uid="{7E45862F-E18B-4029-BC32-999F6AE5BBD8}"/>
    <hyperlink ref="D343" r:id="rId341" xr:uid="{E0BA5105-7903-4FE3-9BD3-5B19FC539CF8}"/>
    <hyperlink ref="D344" r:id="rId342" xr:uid="{E0D171C4-0365-4656-90F3-51911499F9E1}"/>
    <hyperlink ref="D345" r:id="rId343" xr:uid="{46B595EF-B5D2-4B7A-AD2B-650DF28E2678}"/>
    <hyperlink ref="D346" r:id="rId344" xr:uid="{18D68A60-D1EA-4A5E-92DD-0EEC1A5EE2DC}"/>
    <hyperlink ref="D347" r:id="rId345" xr:uid="{51EBCBB7-B884-4AAC-B203-CEBA3C846DBE}"/>
    <hyperlink ref="D348" r:id="rId346" xr:uid="{1437525E-E916-4FB0-98E8-45DFEF2F3E90}"/>
    <hyperlink ref="D349" r:id="rId347" xr:uid="{717B44B2-51C9-4CF1-A6F5-7575552877BB}"/>
    <hyperlink ref="D350" r:id="rId348" xr:uid="{2960341B-1FE6-4C9E-91CC-77ABBCC6CD01}"/>
    <hyperlink ref="D351" r:id="rId349" xr:uid="{22995BB4-EF97-4E52-A05F-E65E8A9EF9AA}"/>
    <hyperlink ref="D352" r:id="rId350" xr:uid="{BB0A1608-A095-488E-B4F7-34B35612A97A}"/>
    <hyperlink ref="D353" r:id="rId351" xr:uid="{B2CEB63C-D153-47A1-B54B-B292F11ECF00}"/>
    <hyperlink ref="D354" r:id="rId352" xr:uid="{70EC05C1-FE54-46DD-BDE5-572B71BA305A}"/>
    <hyperlink ref="D355" r:id="rId353" xr:uid="{3900874A-EB90-43ED-B4D0-9ADEEB77CB82}"/>
    <hyperlink ref="D356" r:id="rId354" xr:uid="{3D66DD75-D43B-4F4C-AE8B-7C8A4272230F}"/>
    <hyperlink ref="D357" r:id="rId355" xr:uid="{6DC7A9F1-A741-46FD-B915-8C4CD786AE7E}"/>
    <hyperlink ref="D358" r:id="rId356" xr:uid="{7E0D009C-3D5F-45EB-8BE6-C10151CD4175}"/>
    <hyperlink ref="D359" r:id="rId357" xr:uid="{64EDD628-0720-45CC-BD3C-88C96E8EEEBB}"/>
    <hyperlink ref="D360" r:id="rId358" xr:uid="{33996ADE-78F4-449E-9BF7-900397543C10}"/>
    <hyperlink ref="D361" r:id="rId359" xr:uid="{7DD6B959-1589-4C8E-B403-4084CE7EA7F9}"/>
    <hyperlink ref="D362" r:id="rId360" xr:uid="{119EA8C5-3E32-49EF-9A7D-7448DED04F0A}"/>
    <hyperlink ref="D363" r:id="rId361" xr:uid="{45F663BE-E874-4E28-B6EE-5DAAA77148D2}"/>
    <hyperlink ref="D364" r:id="rId362" xr:uid="{60F60B07-518B-4F9D-A880-94979416EACE}"/>
    <hyperlink ref="D365" r:id="rId363" xr:uid="{74CCC0FA-7D72-462C-9FE6-36A32C22C2BB}"/>
    <hyperlink ref="D366" r:id="rId364" xr:uid="{311B8B37-5C53-4186-A840-39C564AD3C09}"/>
    <hyperlink ref="D367" r:id="rId365" xr:uid="{B13ABE6D-624D-4629-BEE3-8009F396C9D0}"/>
    <hyperlink ref="D368" r:id="rId366" xr:uid="{8718FFD6-ACAB-4FC5-A7B2-89A9FD63E689}"/>
    <hyperlink ref="D369" r:id="rId367" xr:uid="{D9E4F514-A712-478E-9E94-4D6E16A1823B}"/>
    <hyperlink ref="D370" r:id="rId368" xr:uid="{F27579F6-57D3-482E-9793-EBB6C3268B57}"/>
    <hyperlink ref="D371" r:id="rId369" xr:uid="{449A8CA9-ACE2-4364-8D15-F72332F7A8D1}"/>
    <hyperlink ref="D372" r:id="rId370" xr:uid="{AEA5D988-2DBA-4C7E-904F-0214BB7BB80C}"/>
    <hyperlink ref="D373" r:id="rId371" xr:uid="{5EC1ACEB-35C6-47BE-B455-92512D5707A6}"/>
    <hyperlink ref="D374" r:id="rId372" xr:uid="{118EDD9E-5CAD-4939-A0B3-AC60E6800CFC}"/>
    <hyperlink ref="D375" r:id="rId373" xr:uid="{F99C01E1-0156-4A1F-B280-8618C1B63594}"/>
    <hyperlink ref="D376" r:id="rId374" xr:uid="{45AC5A6D-EAFA-400B-AFE5-A08CBFC750F9}"/>
    <hyperlink ref="D377" r:id="rId375" xr:uid="{24214D50-3F27-401C-9237-E0B07B0C8EBA}"/>
    <hyperlink ref="D378" r:id="rId376" xr:uid="{8E8087D5-0E64-4E9F-9EF8-CF198F5CB69F}"/>
    <hyperlink ref="D379" r:id="rId377" xr:uid="{5E248339-FD47-4455-847C-50708FEA1A09}"/>
    <hyperlink ref="D380" r:id="rId378" xr:uid="{1A5FD352-695F-4F49-9D28-ABDA2749E520}"/>
    <hyperlink ref="D381" r:id="rId379" xr:uid="{05506017-54A9-4F3E-8030-9D32A5881762}"/>
    <hyperlink ref="D382" r:id="rId380" xr:uid="{29512F71-F00E-4C87-93AA-C1AEE6992A41}"/>
    <hyperlink ref="D383" r:id="rId381" xr:uid="{D9AE7435-B56C-42F0-A0F8-567C9E8FFF66}"/>
    <hyperlink ref="D384" r:id="rId382" xr:uid="{5D805F93-9384-45C5-93B9-F2AA4650C0F3}"/>
    <hyperlink ref="D385" r:id="rId383" xr:uid="{D8C856B0-D745-44E0-87F4-497D094A0B22}"/>
    <hyperlink ref="D386" r:id="rId384" xr:uid="{26A12C2E-7F88-4F3B-8655-566BA0CD46F1}"/>
    <hyperlink ref="D387" r:id="rId385" xr:uid="{693B72C9-6649-4177-AA1B-72BF1991A519}"/>
    <hyperlink ref="D388" r:id="rId386" xr:uid="{34001165-2F68-4E98-9FD2-93C02BC5A540}"/>
    <hyperlink ref="D389" r:id="rId387" xr:uid="{EA9CD36B-84D0-4D52-8461-DD1B32C70232}"/>
    <hyperlink ref="D390" r:id="rId388" xr:uid="{5418BC92-AAC7-40D2-8725-CB760A4FB85B}"/>
    <hyperlink ref="D391" r:id="rId389" xr:uid="{DC4E9680-F7A1-4FE3-8FE7-296729FC6E0B}"/>
    <hyperlink ref="D392" r:id="rId390" xr:uid="{57F53FF3-105C-4CD4-8276-43998D19FB38}"/>
    <hyperlink ref="D393" r:id="rId391" xr:uid="{1189EA8A-EAC1-40FD-A557-0916A06A93DA}"/>
    <hyperlink ref="D394" r:id="rId392" xr:uid="{3053D48D-FF9C-49C4-9C07-7B84815987E7}"/>
    <hyperlink ref="D395" r:id="rId393" xr:uid="{C6A65D80-345F-4063-AD68-604FDE77DC54}"/>
    <hyperlink ref="D396" r:id="rId394" xr:uid="{0B57615A-1BF9-49A0-8A19-45331D473A91}"/>
    <hyperlink ref="D397" r:id="rId395" xr:uid="{727048E6-3E0E-43FC-9820-C7266F7FBC7C}"/>
    <hyperlink ref="D398" r:id="rId396" xr:uid="{0CCE14EE-58C4-4D94-8792-2434A43BBCE4}"/>
    <hyperlink ref="D399" r:id="rId397" xr:uid="{DA05B3B0-01E5-496F-AAD4-FCECFBF5005E}"/>
    <hyperlink ref="D400" r:id="rId398" xr:uid="{6ACD5E32-3453-4EB5-83F3-620CF643B89B}"/>
    <hyperlink ref="D401" r:id="rId399" xr:uid="{9A000F83-0C3D-4101-AB33-C6E38D2941F2}"/>
    <hyperlink ref="D402" r:id="rId400" xr:uid="{2F564CE3-C136-48A0-9B51-6D1BFEDE7273}"/>
    <hyperlink ref="D403" r:id="rId401" xr:uid="{4519977A-A127-468A-B1F8-6F1247D7379C}"/>
    <hyperlink ref="D404" r:id="rId402" xr:uid="{F985960E-E57B-48E0-BF19-7A79610BBE50}"/>
    <hyperlink ref="D405" r:id="rId403" xr:uid="{E84CC362-31EE-4915-9601-B53A85998DDC}"/>
    <hyperlink ref="D406" r:id="rId404" xr:uid="{9A9467F2-0C8D-4609-9528-311BCB905541}"/>
    <hyperlink ref="D407" r:id="rId405" xr:uid="{630233D2-59E8-459D-B27B-2E096EB6FB84}"/>
    <hyperlink ref="D408" r:id="rId406" xr:uid="{80E231EB-AF45-4CD8-ABA6-38AFA24A9D9A}"/>
    <hyperlink ref="D409" r:id="rId407" xr:uid="{EC6C0069-8B12-4F7D-98D8-8C7638E0BA51}"/>
    <hyperlink ref="D410" r:id="rId408" xr:uid="{49BFD38A-C67E-4166-B23C-07EF2F5ABDC1}"/>
    <hyperlink ref="D411" r:id="rId409" xr:uid="{97C0B4E5-6391-42CE-8A58-729C750AF972}"/>
    <hyperlink ref="D412" r:id="rId410" xr:uid="{7BADAC03-B788-4CDE-ABA5-15E083EEB6C0}"/>
    <hyperlink ref="D413" r:id="rId411" xr:uid="{37200347-3BAB-4C22-A3B1-3B92BBD361F6}"/>
    <hyperlink ref="D414" r:id="rId412" xr:uid="{7E97C5F5-2926-435A-B35D-2F3445C262C6}"/>
    <hyperlink ref="D415" r:id="rId413" xr:uid="{70013E9C-2102-4E37-9E07-DBEBD1FE4CBD}"/>
    <hyperlink ref="D416" r:id="rId414" xr:uid="{4B5F3591-219E-48F8-A76E-D3CCE1565D3F}"/>
    <hyperlink ref="D417" r:id="rId415" xr:uid="{57B12896-85C0-45D7-BB8E-A47857F53EF9}"/>
    <hyperlink ref="D418" r:id="rId416" xr:uid="{7F7E0B76-249A-4D60-B1E3-4B75CF92032D}"/>
    <hyperlink ref="D419" r:id="rId417" xr:uid="{7C76B1C9-AA71-499F-8441-30B57DF38D1D}"/>
    <hyperlink ref="D420" r:id="rId418" xr:uid="{CDFD85B5-78AF-4595-BDBF-2A5FF7554480}"/>
    <hyperlink ref="D421" r:id="rId419" xr:uid="{ED15336B-5385-4976-8594-EBAE075593DE}"/>
    <hyperlink ref="D422" r:id="rId420" xr:uid="{8532FF9C-AE0F-4AAC-9753-7957690A0C19}"/>
    <hyperlink ref="D423" r:id="rId421" xr:uid="{3F9EA1EE-4571-40AF-9315-0FC00F4B2089}"/>
    <hyperlink ref="D424" r:id="rId422" xr:uid="{B57F9CBD-5C25-4D8E-9F69-C77CC8A03659}"/>
    <hyperlink ref="D425" r:id="rId423" xr:uid="{FFD6A5FD-201C-407A-831C-8375EB0C3A9C}"/>
    <hyperlink ref="D426" r:id="rId424" xr:uid="{0F910BBA-842E-4200-AEE4-1F0FB9726B6E}"/>
    <hyperlink ref="D427" r:id="rId425" xr:uid="{5C4F730C-AC34-4DDF-9261-E49BB7117A4D}"/>
    <hyperlink ref="D428" r:id="rId426" xr:uid="{6B62BC29-1072-435F-914E-2317A1FD47EE}"/>
    <hyperlink ref="D429" r:id="rId427" xr:uid="{6F9B3C0A-39F8-4ABF-957C-368E57DDA069}"/>
    <hyperlink ref="D430" r:id="rId428" xr:uid="{5F21E01E-5DA2-46EC-954E-694EC158D056}"/>
    <hyperlink ref="D431" r:id="rId429" xr:uid="{00F10592-3D38-4F8F-85B2-43F1A8869094}"/>
    <hyperlink ref="D432" r:id="rId430" xr:uid="{1618F228-FDAC-412D-9737-2A91FFD3B9E5}"/>
    <hyperlink ref="D433" r:id="rId431" xr:uid="{0CE387BB-5895-4D46-AFD6-AA3123BA353F}"/>
    <hyperlink ref="D434" r:id="rId432" xr:uid="{EF6C3CA3-478C-4813-A4A9-11851ED27F7C}"/>
    <hyperlink ref="D435" r:id="rId433" xr:uid="{2FD59430-E462-483A-B35B-1C5673F2B23F}"/>
    <hyperlink ref="D436" r:id="rId434" xr:uid="{BA4A5B67-B28B-4C38-B5AB-77FDFE9F9F7E}"/>
    <hyperlink ref="D437" r:id="rId435" xr:uid="{7F70DE20-EC1F-4EA1-A9A0-444013E21C8E}"/>
    <hyperlink ref="D438" r:id="rId436" xr:uid="{7FA6FA2A-659C-4678-BADC-0D1771AB4AB4}"/>
    <hyperlink ref="D439" r:id="rId437" xr:uid="{5C3A20DC-A896-4A20-90BA-2D83FB1AE632}"/>
    <hyperlink ref="D440" r:id="rId438" xr:uid="{7DDCB8A9-28D4-498D-B15E-5F7F3CF2BD36}"/>
    <hyperlink ref="D441" r:id="rId439" xr:uid="{0039825A-A346-4600-925C-CA6A78BC6F56}"/>
    <hyperlink ref="D442" r:id="rId440" xr:uid="{7656554F-EE9E-4131-A2F1-68539A109636}"/>
    <hyperlink ref="D443" r:id="rId441" xr:uid="{1E5ECDC7-06C6-432D-B35B-DADE31D2EE59}"/>
    <hyperlink ref="D444" r:id="rId442" xr:uid="{DE08A4E7-9F90-4A4E-AEF3-966A42CA787E}"/>
    <hyperlink ref="D445" r:id="rId443" xr:uid="{B3524E5C-878B-40CF-A84F-34D4DA1AF559}"/>
    <hyperlink ref="D446" r:id="rId444" xr:uid="{EC69FD17-1DFC-462A-BF2D-53A980205C8E}"/>
    <hyperlink ref="D447" r:id="rId445" xr:uid="{84A26F2B-8936-4FB9-82EB-77D3339CFCC6}"/>
    <hyperlink ref="D448" r:id="rId446" xr:uid="{4898F466-0B57-4F8E-A17D-2BF0FE8C6D36}"/>
    <hyperlink ref="D449" r:id="rId447" xr:uid="{CA6160BB-691E-464B-8509-238CAE2D2ECD}"/>
    <hyperlink ref="D450" r:id="rId448" xr:uid="{5873D00B-8DDF-46AA-A02A-9848093BBCD6}"/>
    <hyperlink ref="D451" r:id="rId449" xr:uid="{1C306D15-DAD3-462B-9802-3460F86A81AF}"/>
    <hyperlink ref="D452" r:id="rId450" xr:uid="{E2D54FEA-584D-4966-89CA-681ABAC9567E}"/>
    <hyperlink ref="D453" r:id="rId451" xr:uid="{FD48C835-F78E-44DC-9AA3-764F33394029}"/>
    <hyperlink ref="D454" r:id="rId452" xr:uid="{217EAC15-C2D4-4520-975A-3F10CA09C45C}"/>
    <hyperlink ref="D455" r:id="rId453" xr:uid="{A65DF5A6-B1E4-4FD5-A1C4-073E98123AA4}"/>
    <hyperlink ref="D456" r:id="rId454" xr:uid="{49276990-BD80-4F1F-ADE7-9D50371EE415}"/>
    <hyperlink ref="D457" r:id="rId455" xr:uid="{EE9679CB-9C7E-4F5B-B1B8-F1CA0D70E576}"/>
    <hyperlink ref="D458" r:id="rId456" xr:uid="{FB5D0EAC-8E63-49F6-9792-B67B727D8B9E}"/>
    <hyperlink ref="D459" r:id="rId457" xr:uid="{CE3B3A63-4FA3-4236-AF4C-97705495AA0C}"/>
    <hyperlink ref="D460" r:id="rId458" xr:uid="{F133B919-FE87-4DBD-8B15-F1C752E4B160}"/>
    <hyperlink ref="D461" r:id="rId459" xr:uid="{7D10F452-8160-4083-805F-DD49F762371E}"/>
    <hyperlink ref="D462" r:id="rId460" xr:uid="{6BACC881-EE81-4E64-BB98-5E2340453AAD}"/>
    <hyperlink ref="D463" r:id="rId461" xr:uid="{997BDEE4-236F-45BD-B591-1A9EC6E69A8D}"/>
    <hyperlink ref="D464" r:id="rId462" xr:uid="{B324924F-D1D7-45D6-967E-2D25EDE5946C}"/>
    <hyperlink ref="D465" r:id="rId463" xr:uid="{F1DC5ACE-0EF3-40F5-9FC3-4AD7DD53F9E2}"/>
    <hyperlink ref="D466" r:id="rId464" xr:uid="{D05BD8FC-0957-4909-8E86-CB2083770277}"/>
    <hyperlink ref="D467" r:id="rId465" xr:uid="{3DC37195-4D29-46DE-9769-3787EA8CBBFF}"/>
    <hyperlink ref="D468" r:id="rId466" xr:uid="{2BCB2AC7-5085-4669-899F-AB7EF7D56583}"/>
    <hyperlink ref="D469" r:id="rId467" xr:uid="{4F8AB544-4B86-4518-B9B5-AA3788C8371C}"/>
    <hyperlink ref="D470" r:id="rId468" xr:uid="{C8C9DE77-EB11-4532-B2C1-7948155A3B8D}"/>
    <hyperlink ref="D471" r:id="rId469" xr:uid="{B7FEDFA3-915A-4530-9715-CB7E8D05A075}"/>
    <hyperlink ref="D472" r:id="rId470" xr:uid="{316FE660-ADE9-46AA-B8B0-F3A8E6C45E70}"/>
    <hyperlink ref="D473" r:id="rId471" xr:uid="{70EF2F55-7FCE-4B7C-BD78-7B361F120D79}"/>
    <hyperlink ref="D474" r:id="rId472" xr:uid="{91B30268-FA1F-4307-885C-222134DC9582}"/>
    <hyperlink ref="D475" r:id="rId473" xr:uid="{75343BE5-E3C8-445B-AFC5-8B3CF6CD2638}"/>
    <hyperlink ref="D476" r:id="rId474" xr:uid="{D72D9448-326C-4359-BD13-780C40C7F484}"/>
    <hyperlink ref="D477" r:id="rId475" xr:uid="{4E0BC04F-EA6E-4C66-B24D-95B7F29E33E3}"/>
    <hyperlink ref="D478" r:id="rId476" xr:uid="{9E757375-965C-4164-A126-6465384EA977}"/>
    <hyperlink ref="T13" r:id="rId477" xr:uid="{3B45AFD1-9CD5-4D52-B5E0-013CEDF9D707}"/>
  </hyperlinks>
  <pageMargins left="0.7" right="0.7" top="0.78740157499999996" bottom="0.78740157499999996" header="0.3" footer="0.3"/>
  <pageSetup paperSize="9" orientation="portrait" r:id="rId4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Wimmer</dc:creator>
  <cp:lastModifiedBy>Jan Wimmer</cp:lastModifiedBy>
  <dcterms:created xsi:type="dcterms:W3CDTF">2025-01-13T20:04:33Z</dcterms:created>
  <dcterms:modified xsi:type="dcterms:W3CDTF">2025-11-07T14:01:28Z</dcterms:modified>
</cp:coreProperties>
</file>